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Climate Dataset\Paper start\Matlab codes for APAHs flux\"/>
    </mc:Choice>
  </mc:AlternateContent>
  <xr:revisionPtr revIDLastSave="0" documentId="8_{49837046-DC0C-45ED-ADFB-734DD03ED0FA}" xr6:coauthVersionLast="47" xr6:coauthVersionMax="47" xr10:uidLastSave="{00000000-0000-0000-0000-000000000000}"/>
  <bookViews>
    <workbookView xWindow="-110" yWindow="-110" windowWidth="38620" windowHeight="21100" tabRatio="700" activeTab="5" xr2:uid="{00000000-000D-0000-FFFF-FFFF00000000}"/>
  </bookViews>
  <sheets>
    <sheet name="Data from GEMS" sheetId="1" r:id="rId1"/>
    <sheet name="Oil emission" sheetId="2" r:id="rId2"/>
    <sheet name="APAHs15 in Oil" sheetId="3" r:id="rId3"/>
    <sheet name="SI Tables" sheetId="8" r:id="rId4"/>
    <sheet name="light_mid_heavy" sheetId="6" r:id="rId5"/>
    <sheet name="APAHs in oil addtional" sheetId="5" r:id="rId6"/>
    <sheet name="Evaporation rate" sheetId="4" r:id="rId7"/>
    <sheet name="Correction factor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2" l="1"/>
  <c r="F96" i="7"/>
  <c r="I18" i="7"/>
  <c r="H18" i="7"/>
  <c r="F18" i="7"/>
  <c r="D4" i="3"/>
  <c r="C4" i="3"/>
  <c r="D61" i="3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2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G10" i="1"/>
  <c r="AG7" i="1"/>
  <c r="D96" i="4"/>
  <c r="F99" i="7"/>
  <c r="G99" i="7"/>
  <c r="G18" i="7"/>
  <c r="F61" i="3" l="1"/>
  <c r="K27" i="2"/>
  <c r="M10" i="2" l="1"/>
  <c r="R33" i="1"/>
  <c r="P42" i="1"/>
  <c r="R34" i="1"/>
  <c r="P37" i="1"/>
  <c r="K20" i="1"/>
  <c r="J20" i="1"/>
  <c r="U34" i="1"/>
  <c r="U35" i="1"/>
  <c r="U36" i="1"/>
  <c r="U37" i="1"/>
  <c r="U38" i="1"/>
  <c r="U39" i="1"/>
  <c r="U40" i="1"/>
  <c r="U33" i="1"/>
  <c r="R35" i="1"/>
  <c r="R36" i="1"/>
  <c r="R37" i="1"/>
  <c r="R38" i="1"/>
  <c r="R39" i="1"/>
  <c r="R40" i="1"/>
  <c r="S40" i="1"/>
  <c r="P40" i="1"/>
  <c r="S39" i="1"/>
  <c r="P39" i="1"/>
  <c r="S38" i="1"/>
  <c r="P38" i="1"/>
  <c r="S37" i="1"/>
  <c r="S36" i="1"/>
  <c r="P36" i="1"/>
  <c r="S35" i="1"/>
  <c r="P35" i="1"/>
  <c r="S34" i="1"/>
  <c r="P34" i="1"/>
  <c r="S33" i="1"/>
  <c r="P33" i="1"/>
  <c r="I97" i="7"/>
  <c r="H97" i="7"/>
  <c r="E113" i="7"/>
  <c r="G19" i="7"/>
  <c r="I19" i="7" s="1"/>
  <c r="H113" i="7"/>
  <c r="G113" i="7"/>
  <c r="H47" i="7"/>
  <c r="I47" i="7"/>
  <c r="H64" i="7"/>
  <c r="I64" i="7"/>
  <c r="F64" i="7"/>
  <c r="G86" i="7"/>
  <c r="I86" i="7" s="1"/>
  <c r="F86" i="7"/>
  <c r="I99" i="7"/>
  <c r="G76" i="7"/>
  <c r="H76" i="7" s="1"/>
  <c r="F76" i="7"/>
  <c r="F17" i="7"/>
  <c r="G17" i="7"/>
  <c r="H17" i="7" s="1"/>
  <c r="F67" i="7"/>
  <c r="G67" i="7"/>
  <c r="H67" i="7" s="1"/>
  <c r="F72" i="7"/>
  <c r="G72" i="7"/>
  <c r="H72" i="7" s="1"/>
  <c r="F16" i="7"/>
  <c r="G16" i="7"/>
  <c r="I16" i="7" s="1"/>
  <c r="F73" i="7"/>
  <c r="G73" i="7"/>
  <c r="H73" i="7" s="1"/>
  <c r="F14" i="7"/>
  <c r="G14" i="7"/>
  <c r="I14" i="7" s="1"/>
  <c r="F68" i="7"/>
  <c r="G68" i="7"/>
  <c r="H68" i="7" s="1"/>
  <c r="F80" i="7"/>
  <c r="G80" i="7"/>
  <c r="H80" i="7" s="1"/>
  <c r="F71" i="7"/>
  <c r="G71" i="7"/>
  <c r="I71" i="7" s="1"/>
  <c r="F41" i="7"/>
  <c r="G41" i="7"/>
  <c r="H41" i="7" s="1"/>
  <c r="F49" i="7"/>
  <c r="G49" i="7"/>
  <c r="H49" i="7" s="1"/>
  <c r="F40" i="7"/>
  <c r="G40" i="7"/>
  <c r="H40" i="7" s="1"/>
  <c r="F12" i="7"/>
  <c r="G12" i="7"/>
  <c r="H12" i="7" s="1"/>
  <c r="F42" i="7"/>
  <c r="G42" i="7"/>
  <c r="H42" i="7" s="1"/>
  <c r="F62" i="7"/>
  <c r="G62" i="7"/>
  <c r="H62" i="7" s="1"/>
  <c r="F59" i="7"/>
  <c r="G59" i="7"/>
  <c r="I59" i="7" s="1"/>
  <c r="F38" i="7"/>
  <c r="G38" i="7"/>
  <c r="H38" i="7" s="1"/>
  <c r="F19" i="7"/>
  <c r="F57" i="7"/>
  <c r="G57" i="7"/>
  <c r="H57" i="7" s="1"/>
  <c r="F82" i="7"/>
  <c r="G82" i="7"/>
  <c r="H82" i="7" s="1"/>
  <c r="F53" i="7"/>
  <c r="G53" i="7"/>
  <c r="H53" i="7" s="1"/>
  <c r="F56" i="7"/>
  <c r="G56" i="7"/>
  <c r="H56" i="7" s="1"/>
  <c r="F21" i="7"/>
  <c r="G21" i="7"/>
  <c r="H21" i="7" s="1"/>
  <c r="F7" i="7"/>
  <c r="G7" i="7"/>
  <c r="H7" i="7" s="1"/>
  <c r="F24" i="7"/>
  <c r="G24" i="7"/>
  <c r="H24" i="7" s="1"/>
  <c r="F84" i="7"/>
  <c r="G84" i="7"/>
  <c r="I84" i="7" s="1"/>
  <c r="F97" i="7"/>
  <c r="G97" i="7"/>
  <c r="F83" i="7"/>
  <c r="G83" i="7"/>
  <c r="H83" i="7" s="1"/>
  <c r="F63" i="7"/>
  <c r="G63" i="7"/>
  <c r="H63" i="7" s="1"/>
  <c r="F45" i="7"/>
  <c r="G45" i="7"/>
  <c r="H45" i="7" s="1"/>
  <c r="F50" i="7"/>
  <c r="G50" i="7"/>
  <c r="H50" i="7" s="1"/>
  <c r="F81" i="7"/>
  <c r="G81" i="7"/>
  <c r="H81" i="7" s="1"/>
  <c r="F6" i="7"/>
  <c r="G6" i="7"/>
  <c r="H6" i="7" s="1"/>
  <c r="F20" i="7"/>
  <c r="G20" i="7"/>
  <c r="I20" i="7" s="1"/>
  <c r="F74" i="7"/>
  <c r="G74" i="7"/>
  <c r="I74" i="7" s="1"/>
  <c r="F87" i="7"/>
  <c r="G87" i="7"/>
  <c r="I87" i="7" s="1"/>
  <c r="F48" i="7"/>
  <c r="G48" i="7"/>
  <c r="H48" i="7" s="1"/>
  <c r="F34" i="7"/>
  <c r="G34" i="7"/>
  <c r="I34" i="7" s="1"/>
  <c r="F39" i="7"/>
  <c r="G39" i="7"/>
  <c r="H39" i="7" s="1"/>
  <c r="F27" i="7"/>
  <c r="G27" i="7"/>
  <c r="H27" i="7" s="1"/>
  <c r="F46" i="7"/>
  <c r="G46" i="7"/>
  <c r="I46" i="7" s="1"/>
  <c r="F31" i="7"/>
  <c r="G31" i="7"/>
  <c r="H31" i="7" s="1"/>
  <c r="F51" i="7"/>
  <c r="G51" i="7"/>
  <c r="H51" i="7" s="1"/>
  <c r="F10" i="7"/>
  <c r="G10" i="7"/>
  <c r="H10" i="7" s="1"/>
  <c r="F36" i="7"/>
  <c r="G36" i="7"/>
  <c r="H36" i="7" s="1"/>
  <c r="F9" i="7"/>
  <c r="G9" i="7"/>
  <c r="I9" i="7" s="1"/>
  <c r="F23" i="7"/>
  <c r="G23" i="7"/>
  <c r="H23" i="7" s="1"/>
  <c r="F85" i="7"/>
  <c r="G85" i="7"/>
  <c r="H85" i="7" s="1"/>
  <c r="F8" i="7"/>
  <c r="G8" i="7"/>
  <c r="I8" i="7" s="1"/>
  <c r="F43" i="7"/>
  <c r="G43" i="7"/>
  <c r="H43" i="7" s="1"/>
  <c r="F60" i="7"/>
  <c r="G60" i="7"/>
  <c r="H60" i="7" s="1"/>
  <c r="G11" i="7"/>
  <c r="H11" i="7" s="1"/>
  <c r="F11" i="7"/>
  <c r="F89" i="7"/>
  <c r="G98" i="7"/>
  <c r="F98" i="7"/>
  <c r="O99" i="7"/>
  <c r="P99" i="7"/>
  <c r="O67" i="7"/>
  <c r="P67" i="7"/>
  <c r="O72" i="7"/>
  <c r="P72" i="7"/>
  <c r="O16" i="7"/>
  <c r="P16" i="7"/>
  <c r="O73" i="7"/>
  <c r="P73" i="7"/>
  <c r="O14" i="7"/>
  <c r="P14" i="7"/>
  <c r="O68" i="7"/>
  <c r="P68" i="7"/>
  <c r="O80" i="7"/>
  <c r="P80" i="7"/>
  <c r="O71" i="7"/>
  <c r="P71" i="7"/>
  <c r="O27" i="7"/>
  <c r="P27" i="7"/>
  <c r="O86" i="7"/>
  <c r="P86" i="7"/>
  <c r="O46" i="7"/>
  <c r="P46" i="7"/>
  <c r="O31" i="7"/>
  <c r="P31" i="7"/>
  <c r="O51" i="7"/>
  <c r="P51" i="7"/>
  <c r="O10" i="7"/>
  <c r="P10" i="7"/>
  <c r="O36" i="7"/>
  <c r="P36" i="7"/>
  <c r="O9" i="7"/>
  <c r="P9" i="7"/>
  <c r="O23" i="7"/>
  <c r="P23" i="7"/>
  <c r="O85" i="7"/>
  <c r="P85" i="7"/>
  <c r="O8" i="7"/>
  <c r="P8" i="7"/>
  <c r="O43" i="7"/>
  <c r="P43" i="7"/>
  <c r="O60" i="7"/>
  <c r="P60" i="7"/>
  <c r="I38" i="1"/>
  <c r="I34" i="1"/>
  <c r="I35" i="1"/>
  <c r="I36" i="1"/>
  <c r="I37" i="1"/>
  <c r="I39" i="1"/>
  <c r="I40" i="1"/>
  <c r="I33" i="1"/>
  <c r="L34" i="1"/>
  <c r="L35" i="1"/>
  <c r="L36" i="1"/>
  <c r="L37" i="1"/>
  <c r="L38" i="1"/>
  <c r="L39" i="1"/>
  <c r="L40" i="1"/>
  <c r="L33" i="1"/>
  <c r="M10" i="1"/>
  <c r="M19" i="1"/>
  <c r="J42" i="1"/>
  <c r="J34" i="1"/>
  <c r="J35" i="1"/>
  <c r="J36" i="1"/>
  <c r="J37" i="1"/>
  <c r="J38" i="1"/>
  <c r="J39" i="1"/>
  <c r="J40" i="1"/>
  <c r="J33" i="1"/>
  <c r="I4" i="7"/>
  <c r="H4" i="7"/>
  <c r="F90" i="7"/>
  <c r="O52" i="7"/>
  <c r="F52" i="7" s="1"/>
  <c r="P52" i="7"/>
  <c r="G52" i="7" s="1"/>
  <c r="O37" i="7"/>
  <c r="F37" i="7" s="1"/>
  <c r="P37" i="7"/>
  <c r="G37" i="7" s="1"/>
  <c r="O11" i="7"/>
  <c r="P11" i="7"/>
  <c r="O17" i="7"/>
  <c r="P17" i="7"/>
  <c r="O76" i="7"/>
  <c r="P76" i="7"/>
  <c r="O65" i="7"/>
  <c r="F65" i="7" s="1"/>
  <c r="P65" i="7"/>
  <c r="G65" i="7" s="1"/>
  <c r="O58" i="7"/>
  <c r="F58" i="7" s="1"/>
  <c r="P58" i="7"/>
  <c r="G58" i="7" s="1"/>
  <c r="O32" i="7"/>
  <c r="F32" i="7" s="1"/>
  <c r="P32" i="7"/>
  <c r="G32" i="7" s="1"/>
  <c r="O35" i="7"/>
  <c r="F35" i="7" s="1"/>
  <c r="P35" i="7"/>
  <c r="G35" i="7" s="1"/>
  <c r="I35" i="7" s="1"/>
  <c r="O55" i="7"/>
  <c r="F55" i="7" s="1"/>
  <c r="P55" i="7"/>
  <c r="G55" i="7" s="1"/>
  <c r="I55" i="7" s="1"/>
  <c r="O66" i="7"/>
  <c r="F66" i="7" s="1"/>
  <c r="P66" i="7"/>
  <c r="G66" i="7" s="1"/>
  <c r="O33" i="7"/>
  <c r="F33" i="7" s="1"/>
  <c r="P33" i="7"/>
  <c r="G33" i="7" s="1"/>
  <c r="H33" i="7" s="1"/>
  <c r="O4" i="7"/>
  <c r="P4" i="7"/>
  <c r="O5" i="7"/>
  <c r="F5" i="7" s="1"/>
  <c r="P5" i="7"/>
  <c r="G5" i="7" s="1"/>
  <c r="I5" i="7" s="1"/>
  <c r="O30" i="7"/>
  <c r="P30" i="7"/>
  <c r="O91" i="7"/>
  <c r="F91" i="7" s="1"/>
  <c r="P91" i="7"/>
  <c r="G91" i="7" s="1"/>
  <c r="O13" i="7"/>
  <c r="P13" i="7"/>
  <c r="G13" i="7" s="1"/>
  <c r="H13" i="7" s="1"/>
  <c r="O26" i="7"/>
  <c r="P26" i="7"/>
  <c r="O96" i="7"/>
  <c r="P96" i="7"/>
  <c r="G96" i="7" s="1"/>
  <c r="I96" i="7" s="1"/>
  <c r="O92" i="7"/>
  <c r="F92" i="7" s="1"/>
  <c r="P92" i="7"/>
  <c r="G92" i="7" s="1"/>
  <c r="I92" i="7" s="1"/>
  <c r="O98" i="7"/>
  <c r="P98" i="7"/>
  <c r="O70" i="7"/>
  <c r="F70" i="7" s="1"/>
  <c r="P70" i="7"/>
  <c r="G70" i="7" s="1"/>
  <c r="I70" i="7" s="1"/>
  <c r="O79" i="7"/>
  <c r="F79" i="7" s="1"/>
  <c r="P79" i="7"/>
  <c r="G79" i="7" s="1"/>
  <c r="I79" i="7" s="1"/>
  <c r="O93" i="7"/>
  <c r="F93" i="7" s="1"/>
  <c r="P93" i="7"/>
  <c r="G93" i="7" s="1"/>
  <c r="O77" i="7"/>
  <c r="F77" i="7" s="1"/>
  <c r="P77" i="7"/>
  <c r="G77" i="7" s="1"/>
  <c r="O25" i="7"/>
  <c r="P25" i="7"/>
  <c r="O22" i="7"/>
  <c r="F22" i="7" s="1"/>
  <c r="P22" i="7"/>
  <c r="O28" i="7"/>
  <c r="F28" i="7" s="1"/>
  <c r="P28" i="7"/>
  <c r="G28" i="7" s="1"/>
  <c r="O18" i="7"/>
  <c r="P18" i="7"/>
  <c r="O75" i="7"/>
  <c r="F75" i="7" s="1"/>
  <c r="P75" i="7"/>
  <c r="G75" i="7" s="1"/>
  <c r="I75" i="7" s="1"/>
  <c r="O15" i="7"/>
  <c r="F15" i="7" s="1"/>
  <c r="P15" i="7"/>
  <c r="G15" i="7" s="1"/>
  <c r="O44" i="7"/>
  <c r="F44" i="7" s="1"/>
  <c r="P44" i="7"/>
  <c r="G44" i="7" s="1"/>
  <c r="O78" i="7"/>
  <c r="F78" i="7" s="1"/>
  <c r="P78" i="7"/>
  <c r="G78" i="7" s="1"/>
  <c r="H78" i="7" s="1"/>
  <c r="O29" i="7"/>
  <c r="F29" i="7" s="1"/>
  <c r="P29" i="7"/>
  <c r="G29" i="7" s="1"/>
  <c r="O94" i="7"/>
  <c r="F94" i="7" s="1"/>
  <c r="P94" i="7"/>
  <c r="G94" i="7" s="1"/>
  <c r="O89" i="7"/>
  <c r="P89" i="7"/>
  <c r="G89" i="7" s="1"/>
  <c r="O95" i="7"/>
  <c r="F95" i="7" s="1"/>
  <c r="P95" i="7"/>
  <c r="G95" i="7" s="1"/>
  <c r="O88" i="7"/>
  <c r="F88" i="7" s="1"/>
  <c r="P88" i="7"/>
  <c r="G88" i="7" s="1"/>
  <c r="O90" i="7"/>
  <c r="P90" i="7"/>
  <c r="G90" i="7" s="1"/>
  <c r="O41" i="7"/>
  <c r="P41" i="7"/>
  <c r="O49" i="7"/>
  <c r="P49" i="7"/>
  <c r="O40" i="7"/>
  <c r="P40" i="7"/>
  <c r="O12" i="7"/>
  <c r="P12" i="7"/>
  <c r="O42" i="7"/>
  <c r="P42" i="7"/>
  <c r="O62" i="7"/>
  <c r="P62" i="7"/>
  <c r="O59" i="7"/>
  <c r="P59" i="7"/>
  <c r="O38" i="7"/>
  <c r="P38" i="7"/>
  <c r="O19" i="7"/>
  <c r="P19" i="7"/>
  <c r="O57" i="7"/>
  <c r="P57" i="7"/>
  <c r="O82" i="7"/>
  <c r="P82" i="7"/>
  <c r="O53" i="7"/>
  <c r="P53" i="7"/>
  <c r="O56" i="7"/>
  <c r="P56" i="7"/>
  <c r="O21" i="7"/>
  <c r="P21" i="7"/>
  <c r="O47" i="7"/>
  <c r="P47" i="7"/>
  <c r="O7" i="7"/>
  <c r="P7" i="7"/>
  <c r="O64" i="7"/>
  <c r="P64" i="7"/>
  <c r="O24" i="7"/>
  <c r="P24" i="7"/>
  <c r="O84" i="7"/>
  <c r="P84" i="7"/>
  <c r="O97" i="7"/>
  <c r="P97" i="7"/>
  <c r="O83" i="7"/>
  <c r="P83" i="7"/>
  <c r="O63" i="7"/>
  <c r="P63" i="7"/>
  <c r="O45" i="7"/>
  <c r="P45" i="7"/>
  <c r="O50" i="7"/>
  <c r="P50" i="7"/>
  <c r="O81" i="7"/>
  <c r="P81" i="7"/>
  <c r="O6" i="7"/>
  <c r="P6" i="7"/>
  <c r="O20" i="7"/>
  <c r="P20" i="7"/>
  <c r="O74" i="7"/>
  <c r="P74" i="7"/>
  <c r="O87" i="7"/>
  <c r="P87" i="7"/>
  <c r="O48" i="7"/>
  <c r="P48" i="7"/>
  <c r="O34" i="7"/>
  <c r="P34" i="7"/>
  <c r="O39" i="7"/>
  <c r="P39" i="7"/>
  <c r="O69" i="7"/>
  <c r="F69" i="7" s="1"/>
  <c r="P69" i="7"/>
  <c r="G69" i="7" s="1"/>
  <c r="O61" i="7"/>
  <c r="F61" i="7" s="1"/>
  <c r="P61" i="7"/>
  <c r="G61" i="7"/>
  <c r="I61" i="7" s="1"/>
  <c r="F30" i="7"/>
  <c r="G30" i="7"/>
  <c r="I30" i="7" s="1"/>
  <c r="F13" i="7"/>
  <c r="F26" i="7"/>
  <c r="G26" i="7"/>
  <c r="H26" i="7" s="1"/>
  <c r="G22" i="7"/>
  <c r="I22" i="7" s="1"/>
  <c r="P54" i="7"/>
  <c r="G54" i="7" s="1"/>
  <c r="O54" i="7"/>
  <c r="F54" i="7" s="1"/>
  <c r="G42" i="1"/>
  <c r="G34" i="1"/>
  <c r="G35" i="1"/>
  <c r="G36" i="1"/>
  <c r="G37" i="1"/>
  <c r="G38" i="1"/>
  <c r="G39" i="1"/>
  <c r="G40" i="1"/>
  <c r="G33" i="1"/>
  <c r="D60" i="3"/>
  <c r="D62" i="3"/>
  <c r="D63" i="3"/>
  <c r="D65" i="3"/>
  <c r="D64" i="3"/>
  <c r="AQ61" i="3"/>
  <c r="AQ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R62" i="3"/>
  <c r="AS62" i="3"/>
  <c r="C62" i="3"/>
  <c r="C61" i="3"/>
  <c r="D95" i="4"/>
  <c r="H19" i="1"/>
  <c r="H8" i="1"/>
  <c r="L8" i="1"/>
  <c r="D97" i="4"/>
  <c r="E95" i="4" s="1"/>
  <c r="Q115" i="6"/>
  <c r="R115" i="6"/>
  <c r="P115" i="6"/>
  <c r="R114" i="6"/>
  <c r="Q114" i="6"/>
  <c r="P114" i="6"/>
  <c r="P4" i="6"/>
  <c r="Q4" i="6"/>
  <c r="R4" i="6"/>
  <c r="P5" i="6"/>
  <c r="Q5" i="6"/>
  <c r="R5" i="6"/>
  <c r="P6" i="6"/>
  <c r="Q6" i="6"/>
  <c r="R6" i="6"/>
  <c r="P7" i="6"/>
  <c r="Q7" i="6"/>
  <c r="R7" i="6"/>
  <c r="P8" i="6"/>
  <c r="Q8" i="6"/>
  <c r="R8" i="6"/>
  <c r="P9" i="6"/>
  <c r="Q9" i="6"/>
  <c r="R9" i="6"/>
  <c r="P10" i="6"/>
  <c r="Q10" i="6"/>
  <c r="R10" i="6"/>
  <c r="P11" i="6"/>
  <c r="Q11" i="6"/>
  <c r="R11" i="6"/>
  <c r="P12" i="6"/>
  <c r="Q12" i="6"/>
  <c r="R12" i="6"/>
  <c r="P13" i="6"/>
  <c r="Q13" i="6"/>
  <c r="R13" i="6"/>
  <c r="P14" i="6"/>
  <c r="Q14" i="6"/>
  <c r="R14" i="6"/>
  <c r="P15" i="6"/>
  <c r="Q15" i="6"/>
  <c r="R15" i="6"/>
  <c r="P16" i="6"/>
  <c r="Q16" i="6"/>
  <c r="R16" i="6"/>
  <c r="P17" i="6"/>
  <c r="Q17" i="6"/>
  <c r="R17" i="6"/>
  <c r="P18" i="6"/>
  <c r="Q18" i="6"/>
  <c r="R18" i="6"/>
  <c r="P19" i="6"/>
  <c r="Q19" i="6"/>
  <c r="R19" i="6"/>
  <c r="P20" i="6"/>
  <c r="Q20" i="6"/>
  <c r="R20" i="6"/>
  <c r="P21" i="6"/>
  <c r="Q21" i="6"/>
  <c r="R21" i="6"/>
  <c r="P22" i="6"/>
  <c r="Q22" i="6"/>
  <c r="R22" i="6"/>
  <c r="P23" i="6"/>
  <c r="Q23" i="6"/>
  <c r="R23" i="6"/>
  <c r="P24" i="6"/>
  <c r="Q24" i="6"/>
  <c r="R24" i="6"/>
  <c r="P25" i="6"/>
  <c r="Q25" i="6"/>
  <c r="R25" i="6"/>
  <c r="P26" i="6"/>
  <c r="Q26" i="6"/>
  <c r="R26" i="6"/>
  <c r="P27" i="6"/>
  <c r="Q27" i="6"/>
  <c r="R27" i="6"/>
  <c r="P28" i="6"/>
  <c r="Q28" i="6"/>
  <c r="R28" i="6"/>
  <c r="P29" i="6"/>
  <c r="Q29" i="6"/>
  <c r="R29" i="6"/>
  <c r="P30" i="6"/>
  <c r="Q30" i="6"/>
  <c r="R30" i="6"/>
  <c r="P31" i="6"/>
  <c r="Q31" i="6"/>
  <c r="R31" i="6"/>
  <c r="P32" i="6"/>
  <c r="Q32" i="6"/>
  <c r="R32" i="6"/>
  <c r="P33" i="6"/>
  <c r="Q33" i="6"/>
  <c r="R33" i="6"/>
  <c r="P34" i="6"/>
  <c r="Q34" i="6"/>
  <c r="R34" i="6"/>
  <c r="P35" i="6"/>
  <c r="Q35" i="6"/>
  <c r="R35" i="6"/>
  <c r="P36" i="6"/>
  <c r="Q36" i="6"/>
  <c r="R36" i="6"/>
  <c r="P37" i="6"/>
  <c r="Q37" i="6"/>
  <c r="R37" i="6"/>
  <c r="P38" i="6"/>
  <c r="Q38" i="6"/>
  <c r="R38" i="6"/>
  <c r="P39" i="6"/>
  <c r="Q39" i="6"/>
  <c r="R39" i="6"/>
  <c r="P40" i="6"/>
  <c r="Q40" i="6"/>
  <c r="R40" i="6"/>
  <c r="P41" i="6"/>
  <c r="Q41" i="6"/>
  <c r="R41" i="6"/>
  <c r="P42" i="6"/>
  <c r="Q42" i="6"/>
  <c r="R42" i="6"/>
  <c r="P43" i="6"/>
  <c r="Q43" i="6"/>
  <c r="R43" i="6"/>
  <c r="P44" i="6"/>
  <c r="Q44" i="6"/>
  <c r="R44" i="6"/>
  <c r="P45" i="6"/>
  <c r="Q45" i="6"/>
  <c r="R45" i="6"/>
  <c r="P46" i="6"/>
  <c r="Q46" i="6"/>
  <c r="R46" i="6"/>
  <c r="P47" i="6"/>
  <c r="Q47" i="6"/>
  <c r="R47" i="6"/>
  <c r="P48" i="6"/>
  <c r="Q48" i="6"/>
  <c r="R48" i="6"/>
  <c r="P49" i="6"/>
  <c r="Q49" i="6"/>
  <c r="R49" i="6"/>
  <c r="P50" i="6"/>
  <c r="Q50" i="6"/>
  <c r="R50" i="6"/>
  <c r="P51" i="6"/>
  <c r="Q51" i="6"/>
  <c r="R51" i="6"/>
  <c r="P52" i="6"/>
  <c r="Q52" i="6"/>
  <c r="R52" i="6"/>
  <c r="P53" i="6"/>
  <c r="Q53" i="6"/>
  <c r="R53" i="6"/>
  <c r="P54" i="6"/>
  <c r="Q54" i="6"/>
  <c r="R54" i="6"/>
  <c r="P55" i="6"/>
  <c r="Q55" i="6"/>
  <c r="R55" i="6"/>
  <c r="P56" i="6"/>
  <c r="Q56" i="6"/>
  <c r="R56" i="6"/>
  <c r="P57" i="6"/>
  <c r="Q57" i="6"/>
  <c r="R57" i="6"/>
  <c r="P58" i="6"/>
  <c r="Q58" i="6"/>
  <c r="R58" i="6"/>
  <c r="P59" i="6"/>
  <c r="Q59" i="6"/>
  <c r="R59" i="6"/>
  <c r="P60" i="6"/>
  <c r="Q60" i="6"/>
  <c r="R60" i="6"/>
  <c r="P61" i="6"/>
  <c r="Q61" i="6"/>
  <c r="R61" i="6"/>
  <c r="P62" i="6"/>
  <c r="Q62" i="6"/>
  <c r="R62" i="6"/>
  <c r="P63" i="6"/>
  <c r="Q63" i="6"/>
  <c r="R63" i="6"/>
  <c r="P64" i="6"/>
  <c r="Q64" i="6"/>
  <c r="R64" i="6"/>
  <c r="P65" i="6"/>
  <c r="Q65" i="6"/>
  <c r="R65" i="6"/>
  <c r="P66" i="6"/>
  <c r="Q66" i="6"/>
  <c r="R66" i="6"/>
  <c r="P67" i="6"/>
  <c r="Q67" i="6"/>
  <c r="R67" i="6"/>
  <c r="P68" i="6"/>
  <c r="Q68" i="6"/>
  <c r="R68" i="6"/>
  <c r="P69" i="6"/>
  <c r="Q69" i="6"/>
  <c r="R69" i="6"/>
  <c r="P70" i="6"/>
  <c r="Q70" i="6"/>
  <c r="R70" i="6"/>
  <c r="P71" i="6"/>
  <c r="Q71" i="6"/>
  <c r="R71" i="6"/>
  <c r="P72" i="6"/>
  <c r="Q72" i="6"/>
  <c r="R72" i="6"/>
  <c r="P73" i="6"/>
  <c r="Q73" i="6"/>
  <c r="R73" i="6"/>
  <c r="P74" i="6"/>
  <c r="Q74" i="6"/>
  <c r="R74" i="6"/>
  <c r="P75" i="6"/>
  <c r="Q75" i="6"/>
  <c r="R75" i="6"/>
  <c r="P76" i="6"/>
  <c r="Q76" i="6"/>
  <c r="R76" i="6"/>
  <c r="P77" i="6"/>
  <c r="Q77" i="6"/>
  <c r="R77" i="6"/>
  <c r="P78" i="6"/>
  <c r="Q78" i="6"/>
  <c r="R78" i="6"/>
  <c r="P79" i="6"/>
  <c r="Q79" i="6"/>
  <c r="R79" i="6"/>
  <c r="P80" i="6"/>
  <c r="Q80" i="6"/>
  <c r="R80" i="6"/>
  <c r="P81" i="6"/>
  <c r="Q81" i="6"/>
  <c r="R81" i="6"/>
  <c r="P82" i="6"/>
  <c r="Q82" i="6"/>
  <c r="R82" i="6"/>
  <c r="P83" i="6"/>
  <c r="Q83" i="6"/>
  <c r="R83" i="6"/>
  <c r="P84" i="6"/>
  <c r="Q84" i="6"/>
  <c r="R84" i="6"/>
  <c r="P85" i="6"/>
  <c r="Q85" i="6"/>
  <c r="R85" i="6"/>
  <c r="P86" i="6"/>
  <c r="Q86" i="6"/>
  <c r="R86" i="6"/>
  <c r="P87" i="6"/>
  <c r="Q87" i="6"/>
  <c r="R87" i="6"/>
  <c r="P88" i="6"/>
  <c r="Q88" i="6"/>
  <c r="R88" i="6"/>
  <c r="P89" i="6"/>
  <c r="Q89" i="6"/>
  <c r="R89" i="6"/>
  <c r="P90" i="6"/>
  <c r="Q90" i="6"/>
  <c r="R90" i="6"/>
  <c r="P91" i="6"/>
  <c r="Q91" i="6"/>
  <c r="R91" i="6"/>
  <c r="P92" i="6"/>
  <c r="Q92" i="6"/>
  <c r="R92" i="6"/>
  <c r="P93" i="6"/>
  <c r="Q93" i="6"/>
  <c r="R93" i="6"/>
  <c r="P94" i="6"/>
  <c r="Q94" i="6"/>
  <c r="R94" i="6"/>
  <c r="P95" i="6"/>
  <c r="Q95" i="6"/>
  <c r="R95" i="6"/>
  <c r="P96" i="6"/>
  <c r="Q96" i="6"/>
  <c r="R96" i="6"/>
  <c r="P97" i="6"/>
  <c r="Q97" i="6"/>
  <c r="R97" i="6"/>
  <c r="P98" i="6"/>
  <c r="Q98" i="6"/>
  <c r="R98" i="6"/>
  <c r="P99" i="6"/>
  <c r="Q99" i="6"/>
  <c r="R99" i="6"/>
  <c r="P100" i="6"/>
  <c r="Q100" i="6"/>
  <c r="R100" i="6"/>
  <c r="P101" i="6"/>
  <c r="Q101" i="6"/>
  <c r="R101" i="6"/>
  <c r="P102" i="6"/>
  <c r="Q102" i="6"/>
  <c r="R102" i="6"/>
  <c r="P103" i="6"/>
  <c r="Q103" i="6"/>
  <c r="R103" i="6"/>
  <c r="P104" i="6"/>
  <c r="Q104" i="6"/>
  <c r="R104" i="6"/>
  <c r="P105" i="6"/>
  <c r="Q105" i="6"/>
  <c r="R105" i="6"/>
  <c r="P106" i="6"/>
  <c r="Q106" i="6"/>
  <c r="R106" i="6"/>
  <c r="P107" i="6"/>
  <c r="Q107" i="6"/>
  <c r="R107" i="6"/>
  <c r="P108" i="6"/>
  <c r="Q108" i="6"/>
  <c r="R108" i="6"/>
  <c r="P109" i="6"/>
  <c r="Q109" i="6"/>
  <c r="R109" i="6"/>
  <c r="P110" i="6"/>
  <c r="Q110" i="6"/>
  <c r="R110" i="6"/>
  <c r="P111" i="6"/>
  <c r="Q111" i="6"/>
  <c r="R111" i="6"/>
  <c r="P112" i="6"/>
  <c r="Q112" i="6"/>
  <c r="R112" i="6"/>
  <c r="R3" i="6"/>
  <c r="Q3" i="6"/>
  <c r="P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3" i="6"/>
  <c r="M114" i="6"/>
  <c r="N114" i="6"/>
  <c r="L114" i="6"/>
  <c r="N61" i="6"/>
  <c r="L4" i="6"/>
  <c r="M4" i="6"/>
  <c r="N4" i="6"/>
  <c r="L5" i="6"/>
  <c r="M5" i="6"/>
  <c r="N5" i="6"/>
  <c r="L6" i="6"/>
  <c r="M6" i="6"/>
  <c r="N6" i="6"/>
  <c r="L7" i="6"/>
  <c r="M7" i="6"/>
  <c r="N7" i="6"/>
  <c r="L8" i="6"/>
  <c r="M8" i="6"/>
  <c r="N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L108" i="6"/>
  <c r="M108" i="6"/>
  <c r="N108" i="6"/>
  <c r="L109" i="6"/>
  <c r="M109" i="6"/>
  <c r="N109" i="6"/>
  <c r="L110" i="6"/>
  <c r="M110" i="6"/>
  <c r="N110" i="6"/>
  <c r="L111" i="6"/>
  <c r="M111" i="6"/>
  <c r="N111" i="6"/>
  <c r="L112" i="6"/>
  <c r="M112" i="6"/>
  <c r="N112" i="6"/>
  <c r="N3" i="6"/>
  <c r="M3" i="6"/>
  <c r="L3" i="6"/>
  <c r="S42" i="1" l="1"/>
  <c r="H34" i="7"/>
  <c r="H74" i="7"/>
  <c r="I23" i="7"/>
  <c r="H87" i="7"/>
  <c r="I53" i="7"/>
  <c r="H84" i="7"/>
  <c r="H71" i="7"/>
  <c r="H19" i="7"/>
  <c r="I80" i="7"/>
  <c r="I82" i="7"/>
  <c r="H61" i="7"/>
  <c r="I72" i="7"/>
  <c r="H59" i="7"/>
  <c r="I62" i="7"/>
  <c r="I42" i="7"/>
  <c r="H30" i="7"/>
  <c r="I85" i="7"/>
  <c r="I50" i="7"/>
  <c r="I45" i="7"/>
  <c r="I12" i="7"/>
  <c r="I24" i="7"/>
  <c r="I49" i="7"/>
  <c r="I63" i="7"/>
  <c r="I40" i="7"/>
  <c r="I60" i="7"/>
  <c r="H8" i="7"/>
  <c r="I68" i="7"/>
  <c r="I31" i="7"/>
  <c r="H14" i="7"/>
  <c r="H46" i="7"/>
  <c r="I48" i="7"/>
  <c r="I67" i="7"/>
  <c r="I7" i="7"/>
  <c r="I21" i="7"/>
  <c r="I57" i="7"/>
  <c r="H16" i="7"/>
  <c r="I76" i="7"/>
  <c r="H86" i="7"/>
  <c r="I27" i="7"/>
  <c r="I83" i="7"/>
  <c r="I43" i="7"/>
  <c r="I39" i="7"/>
  <c r="I38" i="7"/>
  <c r="I73" i="7"/>
  <c r="H9" i="7"/>
  <c r="H99" i="7"/>
  <c r="I36" i="7"/>
  <c r="H20" i="7"/>
  <c r="I10" i="7"/>
  <c r="I17" i="7"/>
  <c r="I6" i="7"/>
  <c r="I51" i="7"/>
  <c r="I81" i="7"/>
  <c r="I56" i="7"/>
  <c r="I41" i="7"/>
  <c r="I11" i="7"/>
  <c r="H79" i="7"/>
  <c r="I88" i="7"/>
  <c r="H88" i="7"/>
  <c r="I91" i="7"/>
  <c r="H91" i="7"/>
  <c r="H25" i="7"/>
  <c r="I25" i="7"/>
  <c r="H96" i="7"/>
  <c r="H58" i="7"/>
  <c r="I58" i="7"/>
  <c r="H65" i="7"/>
  <c r="I65" i="7"/>
  <c r="H28" i="7"/>
  <c r="I28" i="7"/>
  <c r="I32" i="7"/>
  <c r="H32" i="7"/>
  <c r="I26" i="7"/>
  <c r="H22" i="7"/>
  <c r="I13" i="7"/>
  <c r="I69" i="7"/>
  <c r="H69" i="7"/>
  <c r="H89" i="7"/>
  <c r="I89" i="7"/>
  <c r="H77" i="7"/>
  <c r="I77" i="7"/>
  <c r="H94" i="7"/>
  <c r="I94" i="7"/>
  <c r="H93" i="7"/>
  <c r="I93" i="7"/>
  <c r="H66" i="7"/>
  <c r="I66" i="7"/>
  <c r="I54" i="7"/>
  <c r="H54" i="7"/>
  <c r="H44" i="7"/>
  <c r="I44" i="7"/>
  <c r="I98" i="7"/>
  <c r="H98" i="7"/>
  <c r="I15" i="7"/>
  <c r="H15" i="7"/>
  <c r="I37" i="7"/>
  <c r="H37" i="7"/>
  <c r="H95" i="7"/>
  <c r="I95" i="7"/>
  <c r="I29" i="7"/>
  <c r="H29" i="7"/>
  <c r="I52" i="7"/>
  <c r="H52" i="7"/>
  <c r="H75" i="7"/>
  <c r="H90" i="7"/>
  <c r="I90" i="7"/>
  <c r="I78" i="7"/>
  <c r="H55" i="7"/>
  <c r="I33" i="7"/>
  <c r="H70" i="7"/>
  <c r="H5" i="7"/>
  <c r="H92" i="7"/>
  <c r="H35" i="7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C65" i="3"/>
  <c r="C63" i="3"/>
  <c r="C64" i="3"/>
  <c r="L27" i="2"/>
  <c r="M27" i="2"/>
  <c r="AF60" i="3"/>
  <c r="AG60" i="3"/>
  <c r="AH60" i="3"/>
  <c r="AI60" i="3"/>
  <c r="AJ60" i="3"/>
  <c r="AK60" i="3"/>
  <c r="AL60" i="3"/>
  <c r="AN60" i="3"/>
  <c r="AO60" i="3"/>
  <c r="AP60" i="3"/>
  <c r="AQ60" i="3"/>
  <c r="AR60" i="3"/>
  <c r="AS60" i="3"/>
  <c r="AF61" i="3"/>
  <c r="AG61" i="3"/>
  <c r="AH61" i="3"/>
  <c r="AI61" i="3"/>
  <c r="AJ61" i="3"/>
  <c r="AK61" i="3"/>
  <c r="AL61" i="3"/>
  <c r="AN61" i="3"/>
  <c r="AO61" i="3"/>
  <c r="AP61" i="3"/>
  <c r="AR61" i="3"/>
  <c r="AS61" i="3"/>
  <c r="S60" i="3"/>
  <c r="J113" i="7" l="1"/>
  <c r="I113" i="7"/>
  <c r="F113" i="7"/>
  <c r="F60" i="3"/>
  <c r="G60" i="3"/>
  <c r="H60" i="3"/>
  <c r="I60" i="3"/>
  <c r="J60" i="3"/>
  <c r="K60" i="3"/>
  <c r="L60" i="3"/>
  <c r="M60" i="3"/>
  <c r="N60" i="3"/>
  <c r="O60" i="3"/>
  <c r="T60" i="3"/>
  <c r="U60" i="3"/>
  <c r="V60" i="3"/>
  <c r="W60" i="3"/>
  <c r="X60" i="3"/>
  <c r="Y60" i="3"/>
  <c r="Z60" i="3"/>
  <c r="AA60" i="3"/>
  <c r="AB60" i="3"/>
  <c r="AC60" i="3"/>
  <c r="G61" i="3"/>
  <c r="H61" i="3"/>
  <c r="I61" i="3"/>
  <c r="J61" i="3"/>
  <c r="K61" i="3"/>
  <c r="L61" i="3"/>
  <c r="M61" i="3"/>
  <c r="N61" i="3"/>
  <c r="O61" i="3"/>
  <c r="S61" i="3"/>
  <c r="T61" i="3"/>
  <c r="U61" i="3"/>
  <c r="V61" i="3"/>
  <c r="W61" i="3"/>
  <c r="X61" i="3"/>
  <c r="Y61" i="3"/>
  <c r="Z61" i="3"/>
  <c r="AA61" i="3"/>
  <c r="AB61" i="3"/>
  <c r="AC61" i="3"/>
  <c r="C60" i="3"/>
  <c r="J26" i="2"/>
  <c r="I26" i="2"/>
  <c r="M11" i="2"/>
  <c r="O10" i="2"/>
  <c r="N10" i="2"/>
  <c r="O11" i="2"/>
  <c r="K19" i="1"/>
  <c r="J19" i="1"/>
  <c r="M17" i="1"/>
  <c r="L17" i="1"/>
  <c r="H17" i="1"/>
  <c r="D17" i="1"/>
  <c r="M16" i="1"/>
  <c r="L16" i="1"/>
  <c r="H16" i="1"/>
  <c r="D16" i="1"/>
  <c r="M15" i="1"/>
  <c r="L15" i="1"/>
  <c r="H15" i="1"/>
  <c r="D15" i="1"/>
  <c r="M14" i="1"/>
  <c r="L14" i="1"/>
  <c r="H14" i="1"/>
  <c r="D14" i="1"/>
  <c r="M13" i="1"/>
  <c r="L13" i="1"/>
  <c r="H13" i="1"/>
  <c r="D13" i="1"/>
  <c r="M12" i="1"/>
  <c r="L12" i="1"/>
  <c r="H12" i="1"/>
  <c r="D12" i="1"/>
  <c r="M11" i="1"/>
  <c r="L11" i="1"/>
  <c r="H11" i="1"/>
  <c r="D11" i="1"/>
  <c r="L10" i="1"/>
  <c r="H10" i="1"/>
  <c r="D10" i="1"/>
  <c r="M9" i="1"/>
  <c r="L9" i="1"/>
  <c r="H9" i="1"/>
  <c r="D9" i="1"/>
  <c r="M8" i="1"/>
  <c r="L19" i="1"/>
  <c r="D8" i="1"/>
  <c r="N11" i="2" l="1"/>
</calcChain>
</file>

<file path=xl/sharedStrings.xml><?xml version="1.0" encoding="utf-8"?>
<sst xmlns="http://schemas.openxmlformats.org/spreadsheetml/2006/main" count="1769" uniqueCount="775">
  <si>
    <t xml:space="preserve">Data from GEMS: 2013. Global Atmospheric Emissions of Polycyclic Aromatic Hydrocarbons from 1960 to 2008 and Future Predictions. Environmental Science &amp; Technology </t>
    <phoneticPr fontId="12" type="noConversion"/>
  </si>
  <si>
    <t>2010-2019 APAH &amp; PAH16</t>
    <phoneticPr fontId="12" type="noConversion"/>
  </si>
  <si>
    <t>浓度单位</t>
    <phoneticPr fontId="12" type="noConversion"/>
  </si>
  <si>
    <t>'g NAP/km2/year'</t>
  </si>
  <si>
    <t>APAH(6)/Gg</t>
    <phoneticPr fontId="12" type="noConversion"/>
  </si>
  <si>
    <t>12-MeNAP</t>
    <phoneticPr fontId="12" type="noConversion"/>
  </si>
  <si>
    <t>rate</t>
    <phoneticPr fontId="12" type="noConversion"/>
  </si>
  <si>
    <t>Global</t>
    <phoneticPr fontId="12" type="noConversion"/>
  </si>
  <si>
    <t>PAH16/Gg</t>
    <phoneticPr fontId="12" type="noConversion"/>
  </si>
  <si>
    <t>APAH（9）/Gg</t>
    <phoneticPr fontId="12" type="noConversion"/>
  </si>
  <si>
    <t>APAH/PAH16</t>
    <phoneticPr fontId="12" type="noConversion"/>
  </si>
  <si>
    <t>PAH40</t>
    <phoneticPr fontId="12" type="noConversion"/>
  </si>
  <si>
    <t>1239-MePHE</t>
    <phoneticPr fontId="12" type="noConversion"/>
  </si>
  <si>
    <t>NRC, 1975 (kt/yr)</t>
    <phoneticPr fontId="12" type="noConversion"/>
  </si>
  <si>
    <t>NRC, 1985 (kt/yr)</t>
    <phoneticPr fontId="12" type="noConversion"/>
  </si>
  <si>
    <t>(NRC, 2003)(kt/yr)</t>
    <phoneticPr fontId="12" type="noConversion"/>
  </si>
  <si>
    <t xml:space="preserve"> Ⅳ(NRC, 2022)(kt/yr)</t>
    <phoneticPr fontId="12" type="noConversion"/>
  </si>
  <si>
    <t>Oil (NRC, 2022) world area rate</t>
    <phoneticPr fontId="12" type="noConversion"/>
  </si>
  <si>
    <t>min</t>
    <phoneticPr fontId="12" type="noConversion"/>
  </si>
  <si>
    <t>max</t>
    <phoneticPr fontId="12" type="noConversion"/>
  </si>
  <si>
    <t>only North American waters</t>
    <phoneticPr fontId="12" type="noConversion"/>
  </si>
  <si>
    <t>Natural Oil Seeps</t>
    <phoneticPr fontId="12" type="noConversion"/>
  </si>
  <si>
    <t>9.5(+57)</t>
    <phoneticPr fontId="12" type="noConversion"/>
  </si>
  <si>
    <t>Transportation of petroleum</t>
    <phoneticPr fontId="12" type="noConversion"/>
  </si>
  <si>
    <t>Consumption of petroleum</t>
    <phoneticPr fontId="12" type="noConversion"/>
  </si>
  <si>
    <t>Extraction of petroleum</t>
    <phoneticPr fontId="12" type="noConversion"/>
  </si>
  <si>
    <t xml:space="preserve"> (excluding DWH)</t>
  </si>
  <si>
    <t>Best estimate</t>
    <phoneticPr fontId="12" type="noConversion"/>
  </si>
  <si>
    <t>Best estimate</t>
  </si>
  <si>
    <t>min</t>
  </si>
  <si>
    <t>max</t>
  </si>
  <si>
    <t>水中的溶解度</t>
    <phoneticPr fontId="12" type="noConversion"/>
  </si>
  <si>
    <t>水中悬浮颗粒物：泥沙、多孔介质材料，可以吸附PAHs达到平衡</t>
    <phoneticPr fontId="12" type="noConversion"/>
  </si>
  <si>
    <t>参考P175   Petroleum in the Marine Environment-ACS (1980)</t>
    <phoneticPr fontId="12" type="noConversion"/>
  </si>
  <si>
    <t>参考P212   Petroleum in the Marine Environment-ACS (1980)</t>
    <phoneticPr fontId="12" type="noConversion"/>
  </si>
  <si>
    <t>两种原油在水中PAHs and APAHs 溶解度</t>
    <phoneticPr fontId="12" type="noConversion"/>
  </si>
  <si>
    <t>Atmosphere</t>
  </si>
  <si>
    <t>Total</t>
    <phoneticPr fontId="12" type="noConversion"/>
  </si>
  <si>
    <t>NRC,2003</t>
    <phoneticPr fontId="12" type="noConversion"/>
  </si>
  <si>
    <t>1990-1999</t>
    <phoneticPr fontId="12" type="noConversion"/>
  </si>
  <si>
    <t>NRC,2022</t>
    <phoneticPr fontId="12" type="noConversion"/>
  </si>
  <si>
    <t>2010-2019</t>
    <phoneticPr fontId="12" type="noConversion"/>
  </si>
  <si>
    <t>only North America</t>
    <phoneticPr fontId="12" type="noConversion"/>
  </si>
  <si>
    <t>Global(calculated)</t>
    <phoneticPr fontId="12" type="noConversion"/>
  </si>
  <si>
    <t>Best Est</t>
    <phoneticPr fontId="12" type="noConversion"/>
  </si>
  <si>
    <t>Min</t>
    <phoneticPr fontId="12" type="noConversion"/>
  </si>
  <si>
    <t>Max</t>
    <phoneticPr fontId="12" type="noConversion"/>
  </si>
  <si>
    <t>Compound</t>
  </si>
  <si>
    <t>MC252</t>
  </si>
  <si>
    <t>errorbar</t>
    <phoneticPr fontId="12" type="noConversion"/>
  </si>
  <si>
    <t>LWO</t>
  </si>
  <si>
    <t>Depletion of PAHs in LWO</t>
    <phoneticPr fontId="12" type="noConversion"/>
  </si>
  <si>
    <t>OWO</t>
  </si>
  <si>
    <t>Depletion of PAHs in OWO</t>
    <phoneticPr fontId="12" type="noConversion"/>
  </si>
  <si>
    <t>NAP</t>
    <phoneticPr fontId="12" type="noConversion"/>
  </si>
  <si>
    <t>C0-naphthalene</t>
    <phoneticPr fontId="12" type="noConversion"/>
  </si>
  <si>
    <t>DL</t>
  </si>
  <si>
    <t>C1-naphthalenes</t>
  </si>
  <si>
    <t>C2-naphthalenes</t>
  </si>
  <si>
    <t>C3-naphthalenes</t>
    <phoneticPr fontId="12" type="noConversion"/>
  </si>
  <si>
    <t>C4-naphthalenes</t>
  </si>
  <si>
    <t>PHE</t>
    <phoneticPr fontId="12" type="noConversion"/>
  </si>
  <si>
    <t>C0-phenanthrene</t>
    <phoneticPr fontId="12" type="noConversion"/>
  </si>
  <si>
    <t>C1-phenanthrenes</t>
    <phoneticPr fontId="12" type="noConversion"/>
  </si>
  <si>
    <t>C2-phenanthrenes</t>
  </si>
  <si>
    <t>C3-phenanthrenes</t>
  </si>
  <si>
    <t>C4-phenanthrenes</t>
    <phoneticPr fontId="12" type="noConversion"/>
  </si>
  <si>
    <t>C1-dibenzothiophenes</t>
    <phoneticPr fontId="12" type="noConversion"/>
  </si>
  <si>
    <t>C2-dibenzothiophenes</t>
  </si>
  <si>
    <t>C3-dibenzothiophenes</t>
  </si>
  <si>
    <t>FLN</t>
    <phoneticPr fontId="12" type="noConversion"/>
  </si>
  <si>
    <t>C0-fluorene</t>
    <phoneticPr fontId="12" type="noConversion"/>
  </si>
  <si>
    <t>C1-fluorenes</t>
    <phoneticPr fontId="12" type="noConversion"/>
  </si>
  <si>
    <t>C2-fluorenes</t>
  </si>
  <si>
    <t>C3-fluorenes</t>
  </si>
  <si>
    <t>CHR</t>
    <phoneticPr fontId="12" type="noConversion"/>
  </si>
  <si>
    <t>C0-chrysene</t>
    <phoneticPr fontId="12" type="noConversion"/>
  </si>
  <si>
    <t>C1-chrysenes</t>
    <phoneticPr fontId="12" type="noConversion"/>
  </si>
  <si>
    <t>C2-chrysenes</t>
  </si>
  <si>
    <t>C3-chrysenes</t>
  </si>
  <si>
    <t>C4-chrysenes</t>
  </si>
  <si>
    <t>Biphenyl</t>
  </si>
  <si>
    <t>ACY</t>
    <phoneticPr fontId="12" type="noConversion"/>
  </si>
  <si>
    <t>Acenaphthylene</t>
  </si>
  <si>
    <t>ACE</t>
    <phoneticPr fontId="12" type="noConversion"/>
  </si>
  <si>
    <t>Acenaphthene</t>
  </si>
  <si>
    <t>ANT</t>
    <phoneticPr fontId="12" type="noConversion"/>
  </si>
  <si>
    <t>Anthracene</t>
  </si>
  <si>
    <t>FLT</t>
    <phoneticPr fontId="12" type="noConversion"/>
  </si>
  <si>
    <t>Fluoranthene</t>
  </si>
  <si>
    <t>PYR</t>
    <phoneticPr fontId="12" type="noConversion"/>
  </si>
  <si>
    <t>Pyrene</t>
  </si>
  <si>
    <t>BAA</t>
    <phoneticPr fontId="12" type="noConversion"/>
  </si>
  <si>
    <t>Benzo(a)anthracene</t>
  </si>
  <si>
    <t>BBN</t>
    <phoneticPr fontId="12" type="noConversion"/>
  </si>
  <si>
    <t>Benzo(b)fluorene</t>
    <phoneticPr fontId="12" type="noConversion"/>
  </si>
  <si>
    <t>BBF</t>
    <phoneticPr fontId="12" type="noConversion"/>
  </si>
  <si>
    <t>Benzo(b)fluoranthene</t>
  </si>
  <si>
    <t>BKF</t>
    <phoneticPr fontId="12" type="noConversion"/>
  </si>
  <si>
    <t>Benzo(k)fluoranthene</t>
  </si>
  <si>
    <t>BJF</t>
    <phoneticPr fontId="12" type="noConversion"/>
  </si>
  <si>
    <t>Benzo(j)fluoranthene</t>
  </si>
  <si>
    <t>BEP</t>
    <phoneticPr fontId="12" type="noConversion"/>
  </si>
  <si>
    <t>Benzo(e)pyrene</t>
  </si>
  <si>
    <t>BAP</t>
    <phoneticPr fontId="12" type="noConversion"/>
  </si>
  <si>
    <t>Benzo(a)pyrene</t>
  </si>
  <si>
    <t>PER</t>
    <phoneticPr fontId="12" type="noConversion"/>
  </si>
  <si>
    <t>Perylene</t>
  </si>
  <si>
    <t>DCA</t>
    <phoneticPr fontId="12" type="noConversion"/>
  </si>
  <si>
    <t>Dibenz(a,c)anthracene</t>
  </si>
  <si>
    <t>DBA</t>
    <phoneticPr fontId="12" type="noConversion"/>
  </si>
  <si>
    <t>Dibenz(a,h)anthracene</t>
  </si>
  <si>
    <t>INP</t>
    <phoneticPr fontId="12" type="noConversion"/>
  </si>
  <si>
    <t>Indeno(1,2,3,-cd)pyrene</t>
  </si>
  <si>
    <t>BPE</t>
    <phoneticPr fontId="12" type="noConversion"/>
  </si>
  <si>
    <t>Benzo(ghi)perylene</t>
  </si>
  <si>
    <t>2015 Yin et al</t>
    <phoneticPr fontId="12" type="noConversion"/>
  </si>
  <si>
    <t xml:space="preserve">2014 Incardona et al. </t>
    <phoneticPr fontId="12" type="noConversion"/>
  </si>
  <si>
    <t>Naphthalene (N0)</t>
  </si>
  <si>
    <t>C1-Naphthalenes (N1)</t>
  </si>
  <si>
    <t>C2-Naphthalenes (N2)</t>
  </si>
  <si>
    <t>C3-Naphthalenes (N3)</t>
  </si>
  <si>
    <t>C4-Naphthalenes (N4)</t>
  </si>
  <si>
    <t>origin</t>
    <phoneticPr fontId="12" type="noConversion"/>
  </si>
  <si>
    <t>origin(fresh</t>
    <phoneticPr fontId="12" type="noConversion"/>
  </si>
  <si>
    <t>“OWO”（漏油活动阶段从撇油器中收集的现场样品）</t>
    <phoneticPr fontId="12" type="noConversion"/>
  </si>
  <si>
    <t>Phenanthrene (P0)</t>
  </si>
  <si>
    <t>C1-Phenanthrenes (P1)</t>
  </si>
  <si>
    <t>C2-Phenanthrenes (P2)</t>
  </si>
  <si>
    <t>C3-Phenanthrenes (P3)</t>
  </si>
  <si>
    <t>C4-Phenanthrenes (P4)</t>
  </si>
  <si>
    <t>Dibenzothiophene (D0)</t>
  </si>
  <si>
    <t>C1-Dibenzothiophenes (D1)</t>
  </si>
  <si>
    <t>C2-Dibenzothiophenes (D2)</t>
  </si>
  <si>
    <t>C3-Dibenzothiophenes (D3)</t>
  </si>
  <si>
    <t>C4-Dibenzothiophenes (D4)</t>
  </si>
  <si>
    <t>Fluorene (F0)</t>
  </si>
  <si>
    <t>C1-Fluorenes (F1)</t>
  </si>
  <si>
    <t>C2-Fluorenes (F2)</t>
  </si>
  <si>
    <t>C3-Fluorenes (F3)</t>
  </si>
  <si>
    <t>Chrysene+Triphenylene (C0)</t>
    <phoneticPr fontId="12" type="noConversion"/>
  </si>
  <si>
    <t>C1-Chrysenes (C1)</t>
  </si>
  <si>
    <t>C2-Chrysenes (C2)</t>
  </si>
  <si>
    <t>C3-Chrysenes (C3)</t>
  </si>
  <si>
    <t>C4-Chrysenes (C4)</t>
  </si>
  <si>
    <t>Acenaphthylene (AY)</t>
  </si>
  <si>
    <t>Acenaphthene (AC)</t>
  </si>
  <si>
    <t>Biphenyl (BP)</t>
  </si>
  <si>
    <t>Anthracene (AN)</t>
  </si>
  <si>
    <t>Fluoranthene (FL)</t>
  </si>
  <si>
    <t>Pyrene (PY)</t>
  </si>
  <si>
    <t>Benz(a)anthracene (BAA)</t>
  </si>
  <si>
    <t>Benzo(b)fluoranthene (BBF)</t>
  </si>
  <si>
    <t>Benzo(j+k)fluoranthene (BKF)</t>
  </si>
  <si>
    <t>Benzo(e)pyrene (BEP)</t>
  </si>
  <si>
    <t>Benzo(a)pyrene (BAP)</t>
  </si>
  <si>
    <t>Perylene (PER)</t>
  </si>
  <si>
    <t>Indeno(1,2,3-cd)pyrene (IDP)</t>
  </si>
  <si>
    <t>Dibenz(a,h)anthracene (DBA)</t>
  </si>
  <si>
    <t>Benzo(g,h,i)perylene (BZP)</t>
  </si>
  <si>
    <t>C0-dibenzothiophene</t>
    <phoneticPr fontId="12" type="noConversion"/>
  </si>
  <si>
    <t>EPA PAH16</t>
    <phoneticPr fontId="12" type="noConversion"/>
  </si>
  <si>
    <t>APAHs</t>
    <phoneticPr fontId="12" type="noConversion"/>
  </si>
  <si>
    <t>mg/kg</t>
    <phoneticPr fontId="12" type="noConversion"/>
  </si>
  <si>
    <t>2015 Yin et al.</t>
    <phoneticPr fontId="12" type="noConversion"/>
  </si>
  <si>
    <t>MC252</t>
    <phoneticPr fontId="12" type="noConversion"/>
  </si>
  <si>
    <t>Kerosene</t>
  </si>
  <si>
    <t>BunkerA-white</t>
  </si>
  <si>
    <t>Regular gasoline</t>
  </si>
  <si>
    <t>Premium gasoline</t>
  </si>
  <si>
    <t>Jet fuel</t>
  </si>
  <si>
    <t>Light oil</t>
  </si>
  <si>
    <t>Bunker A</t>
  </si>
  <si>
    <t>Bunker A-Low sulfur</t>
  </si>
  <si>
    <t>Bunker C</t>
  </si>
  <si>
    <t>Quench oil</t>
  </si>
  <si>
    <t>Lubricant oil</t>
  </si>
  <si>
    <t>2021 Yuta et al.</t>
    <phoneticPr fontId="12" type="noConversion"/>
  </si>
  <si>
    <t>ND</t>
  </si>
  <si>
    <t>C2-Naphthalenes</t>
  </si>
  <si>
    <t>C3-Naphthalenes</t>
  </si>
  <si>
    <t>C4-Naphthalenes</t>
  </si>
  <si>
    <t>C1-Naphthalenes</t>
  </si>
  <si>
    <t>C1-Phenanthrenes/anthracnes</t>
  </si>
  <si>
    <t>C2-Phenanthrenes/anthracnes</t>
  </si>
  <si>
    <t>C3-Phenanthrenes/anthracnes</t>
  </si>
  <si>
    <t>C4-Phenanthrenes/anthracnes</t>
  </si>
  <si>
    <t>C1-Fluorenes</t>
  </si>
  <si>
    <t>C2-Fluorenes</t>
  </si>
  <si>
    <t>C3-Fluorenes</t>
  </si>
  <si>
    <t>C3-Benz[a]anthracenes/chrysenes</t>
  </si>
  <si>
    <t>C1-Benz[a]anthracenes/chrysenes</t>
  </si>
  <si>
    <t>C2-Benz[a]anthracenes/chrysenes</t>
  </si>
  <si>
    <t>Alaska North Slope Crude Oil</t>
  </si>
  <si>
    <t>Alaska North Slope Crude Oil</t>
    <phoneticPr fontId="12" type="noConversion"/>
  </si>
  <si>
    <t>Alberta Sweet Mixed Blend</t>
  </si>
  <si>
    <t>Arabian Light</t>
  </si>
  <si>
    <t>Arabian Light</t>
    <phoneticPr fontId="12" type="noConversion"/>
  </si>
  <si>
    <t>Fuel Oil No. 2_Diesel</t>
  </si>
  <si>
    <t>mg/kg</t>
    <phoneticPr fontId="12" type="noConversion"/>
  </si>
  <si>
    <t>Fuel Oil No. 5</t>
  </si>
  <si>
    <t>Heavy Fuel Oil 6303</t>
  </si>
  <si>
    <t>Orimulsion-400</t>
  </si>
  <si>
    <t>Sockeye</t>
  </si>
  <si>
    <t>South Louisiana</t>
  </si>
  <si>
    <t>West Texas Intermediate</t>
  </si>
  <si>
    <t>ug/g</t>
    <phoneticPr fontId="12" type="noConversion"/>
  </si>
  <si>
    <t>2003 book charpter1</t>
    <phoneticPr fontId="12" type="noConversion"/>
  </si>
  <si>
    <t>PAH16</t>
    <phoneticPr fontId="12" type="noConversion"/>
  </si>
  <si>
    <t>Crude Oils</t>
  </si>
  <si>
    <t>Total of 5-alkylated PAHs(μg/g)</t>
  </si>
  <si>
    <t>Other3-6-ring PAHs (μg/g)</t>
  </si>
  <si>
    <t>Arabian Medium</t>
  </si>
  <si>
    <t>Arrow oil</t>
  </si>
  <si>
    <t>ASMB</t>
  </si>
  <si>
    <t>Brent oil (UK,1993)</t>
  </si>
  <si>
    <t>California</t>
  </si>
  <si>
    <t>Cook Inlet 1 (Alaska,1996)</t>
  </si>
  <si>
    <t>Cook Inlet 2 (Alaska,1996)</t>
  </si>
  <si>
    <t>Cook Inlet 3 (Alaska,1996)</t>
  </si>
  <si>
    <t>Diesel #2 (Alaska,1996)</t>
  </si>
  <si>
    <t>Diesel of ESD 0%</t>
  </si>
  <si>
    <t>Diesel of ESD 8.20%</t>
  </si>
  <si>
    <t>Diesel of ESD 16.50%</t>
  </si>
  <si>
    <t>Eirini L (Sahara Crude)</t>
  </si>
  <si>
    <t>Federated</t>
  </si>
  <si>
    <t>Gulfaks oil (Norway,1993)</t>
  </si>
  <si>
    <t>Hibernia (1993)</t>
  </si>
  <si>
    <t>Hitra Hedrun Crude</t>
  </si>
  <si>
    <t>Iranian Heavy</t>
  </si>
  <si>
    <t>Jet Fuel B (Alaska,1996)</t>
  </si>
  <si>
    <t>Komi (Russia,1994)</t>
  </si>
  <si>
    <t>Lago Medio</t>
  </si>
  <si>
    <t>Lube oil</t>
  </si>
  <si>
    <t>Maya</t>
  </si>
  <si>
    <t>MV Paean (Reduced crude)</t>
  </si>
  <si>
    <t>MV-Paean 6 (Fuel oil)</t>
  </si>
  <si>
    <t>New Valor (Arab Med Crude)</t>
  </si>
  <si>
    <t>Nipisi</t>
  </si>
  <si>
    <t>NOBE</t>
  </si>
  <si>
    <t>Norman Wells</t>
  </si>
  <si>
    <t>North Slope (BC, 1995)</t>
  </si>
  <si>
    <t>North Slope l (Alaska, 1996)</t>
  </si>
  <si>
    <t>North Slope 2 (Alaska, 1996)</t>
  </si>
  <si>
    <t>North Slope 3 (Alaska, 1996)</t>
  </si>
  <si>
    <t>Oseberg</t>
  </si>
  <si>
    <t>Prudhoe Bay</t>
  </si>
  <si>
    <t>Shell Diesel</t>
  </si>
  <si>
    <t>Statfjord Oil (Norway, 1993)</t>
  </si>
  <si>
    <t>Terrra Nova (1989)</t>
  </si>
  <si>
    <t>Heavy Oils and Spill Samples</t>
  </si>
  <si>
    <t>A-02 (Heavy fuel oil, NF, 1997)</t>
  </si>
  <si>
    <t>Cold Lake Bitumen</t>
  </si>
  <si>
    <t>IF-30 (Heavy fuel oil, Norway, 1996)</t>
  </si>
  <si>
    <t>IFO-180</t>
  </si>
  <si>
    <t>Mouse MIx</t>
  </si>
  <si>
    <t>Orimulsion (before water content correction)</t>
  </si>
  <si>
    <t>Orimulsion (after water content correction)</t>
  </si>
  <si>
    <t>VC-01 (Reduced crude, Russia)</t>
  </si>
  <si>
    <t>W-02 (Heavy fuel oil, NF, 1997)</t>
  </si>
  <si>
    <t>Bunker C (ESD)</t>
  </si>
  <si>
    <t>Bunker C (B. C.)</t>
  </si>
  <si>
    <t>Bunker C/ Diesel Mix.(Alaska, 1996)</t>
  </si>
  <si>
    <t>Irving Whale (1990)</t>
  </si>
  <si>
    <t>Oil contaminated Bird 1（1995）</t>
  </si>
  <si>
    <t>Oil contaminated Bird 2（1995）</t>
  </si>
  <si>
    <t>Oil contaminated Bird 3（1995）</t>
  </si>
  <si>
    <t>Oil contaminated Bird 4（1995）</t>
  </si>
  <si>
    <t>Tarball-l (BC, 1996)</t>
  </si>
  <si>
    <t>Tarball-2 (BC, 1996)</t>
  </si>
  <si>
    <t>Tarball-3 (CA, 1996)</t>
  </si>
  <si>
    <t>Tarball-l (NF, 1997)</t>
  </si>
  <si>
    <t>Tarball-2 (NF, 1997)</t>
  </si>
  <si>
    <t>Tarball-3 (NF, 1997)</t>
  </si>
  <si>
    <t>1999 JCA Oil spill identification</t>
  </si>
  <si>
    <t>Wang et al, 1999</t>
    <phoneticPr fontId="12" type="noConversion"/>
  </si>
  <si>
    <t>Handbook of Oil Spill Science and Technology - 2014 - Fingas</t>
  </si>
  <si>
    <t>ScL</t>
  </si>
  <si>
    <t>SoL</t>
  </si>
  <si>
    <t>CI</t>
  </si>
  <si>
    <t>Troll</t>
  </si>
  <si>
    <t>ArH</t>
  </si>
  <si>
    <t>PIE</t>
  </si>
  <si>
    <t>AOS⁴</t>
  </si>
  <si>
    <t>Scotia Light(Nova Scotia, Canada)</t>
  </si>
  <si>
    <t>Scotia Light(Nova Scotia, Canada)</t>
    <phoneticPr fontId="12" type="noConversion"/>
  </si>
  <si>
    <t>API=53.2</t>
    <phoneticPr fontId="12" type="noConversion"/>
  </si>
  <si>
    <t>South Louisiana(Louisiana, USA)</t>
  </si>
  <si>
    <t>South Louisiana(Louisiana, USA)</t>
    <phoneticPr fontId="12" type="noConversion"/>
  </si>
  <si>
    <t>Cook Inlet(Southern Alaska)</t>
  </si>
  <si>
    <t>Cook Inlet(Southern Alaska)</t>
    <phoneticPr fontId="12" type="noConversion"/>
  </si>
  <si>
    <t>API=37.2</t>
    <phoneticPr fontId="12" type="noConversion"/>
  </si>
  <si>
    <t>API=34.1</t>
    <phoneticPr fontId="12" type="noConversion"/>
  </si>
  <si>
    <t>Troll(North Sea)</t>
  </si>
  <si>
    <t>Troll(North Sea)</t>
    <phoneticPr fontId="12" type="noConversion"/>
  </si>
  <si>
    <t>API=28.4</t>
    <phoneticPr fontId="12" type="noConversion"/>
  </si>
  <si>
    <t>Platform Elly(PlE)(U.S. West coast)</t>
  </si>
  <si>
    <t>Platform Elly(PlE)(U.S. West coast)</t>
    <phoneticPr fontId="12" type="noConversion"/>
  </si>
  <si>
    <t>API=15.8</t>
    <phoneticPr fontId="12" type="noConversion"/>
  </si>
  <si>
    <t>Alberta oil sands bitumen(AOS)(Alberta, Canada)</t>
  </si>
  <si>
    <t>Alberta oil sands bitumen(AOS)(Alberta, Canada)</t>
    <phoneticPr fontId="12" type="noConversion"/>
  </si>
  <si>
    <t>JetA</t>
  </si>
  <si>
    <t>Lube10W-30</t>
  </si>
  <si>
    <t>Diesel No.2</t>
    <phoneticPr fontId="12" type="noConversion"/>
  </si>
  <si>
    <t>Bunker C(Fuel No.6)</t>
    <phoneticPr fontId="12" type="noConversion"/>
  </si>
  <si>
    <t>Bunker B(Fuel No.5)</t>
    <phoneticPr fontId="12" type="noConversion"/>
  </si>
  <si>
    <t>Jet A(CV-580, Ottawa)</t>
  </si>
  <si>
    <t>Jet A(CV-580, Ottawa)</t>
    <phoneticPr fontId="12" type="noConversion"/>
  </si>
  <si>
    <t>Diesel No.2 (Ottawa, Canada)</t>
  </si>
  <si>
    <t>Diesel No.2 (Ottawa, Canada)</t>
    <phoneticPr fontId="12" type="noConversion"/>
  </si>
  <si>
    <t>IFO-180(Canada, 2004)</t>
  </si>
  <si>
    <t>IFO-180(Canada, 2004)</t>
    <phoneticPr fontId="12" type="noConversion"/>
  </si>
  <si>
    <t>Bunker B(Fuel No.5) (USA, 2002)</t>
  </si>
  <si>
    <t>Bunker B(Fuel No.5) (USA, 2002)</t>
    <phoneticPr fontId="12" type="noConversion"/>
  </si>
  <si>
    <t>Bunker C(Fuel No.6)(Canada, 2002)</t>
  </si>
  <si>
    <t>Bunker C(Fuel No.6)(Canada, 2002)</t>
    <phoneticPr fontId="12" type="noConversion"/>
  </si>
  <si>
    <t>Lubricating oil 10W-30(Motor oil, Ottawa, 2004)</t>
  </si>
  <si>
    <t>Lubricating oil 10W-30(Motor oil, Ottawa, 2004)</t>
    <phoneticPr fontId="12" type="noConversion"/>
  </si>
  <si>
    <t>Refined oil products</t>
    <phoneticPr fontId="12" type="noConversion"/>
  </si>
  <si>
    <t>Arabian Heavy</t>
  </si>
  <si>
    <t>Saudi Arabia (courtesy of Irving Oil Ltd, Canaport, NB, Canada) 2004</t>
    <phoneticPr fontId="12" type="noConversion"/>
  </si>
  <si>
    <t>b+k</t>
    <phoneticPr fontId="12" type="noConversion"/>
  </si>
  <si>
    <t>/</t>
  </si>
  <si>
    <t>&lt; 9006</t>
  </si>
  <si>
    <t>&lt; 5269</t>
  </si>
  <si>
    <t>&lt; 15511</t>
  </si>
  <si>
    <t>&lt; 45194</t>
  </si>
  <si>
    <t>&lt; 19475</t>
  </si>
  <si>
    <t>&lt; 28103</t>
  </si>
  <si>
    <t>&lt; 10200</t>
  </si>
  <si>
    <t>&lt; 7990</t>
  </si>
  <si>
    <t>&lt; 352</t>
  </si>
  <si>
    <t>Extraction of petroleum(excluding DWH)</t>
    <phoneticPr fontId="12" type="noConversion"/>
  </si>
  <si>
    <t>Extraction of petroleum(including DWH)</t>
    <phoneticPr fontId="12" type="noConversion"/>
  </si>
  <si>
    <t>11.4-12.3</t>
    <phoneticPr fontId="12" type="noConversion"/>
  </si>
  <si>
    <t>API</t>
    <phoneticPr fontId="12" type="noConversion"/>
  </si>
  <si>
    <t>45.4-54.7</t>
    <phoneticPr fontId="12" type="noConversion"/>
  </si>
  <si>
    <t>54.7-65.0</t>
    <phoneticPr fontId="12" type="noConversion"/>
  </si>
  <si>
    <t>45.4-49.9</t>
    <phoneticPr fontId="12" type="noConversion"/>
  </si>
  <si>
    <t>37.0-45.4</t>
    <phoneticPr fontId="12" type="noConversion"/>
  </si>
  <si>
    <t>31.1-33.0</t>
    <phoneticPr fontId="12" type="noConversion"/>
  </si>
  <si>
    <t>C1-4 Alk-N</t>
    <phoneticPr fontId="12" type="noConversion"/>
  </si>
  <si>
    <t>MeNAP</t>
    <phoneticPr fontId="12" type="noConversion"/>
  </si>
  <si>
    <t>C2-4 Alk-N</t>
    <phoneticPr fontId="12" type="noConversion"/>
  </si>
  <si>
    <t>C1-naphthalenes</t>
    <phoneticPr fontId="12" type="noConversion"/>
  </si>
  <si>
    <t>Lower 48 States Crude Oil and Lease Condensate Production for 20.0 or Lower  Degrees API Gravity (Thousand Barrels per Day)</t>
  </si>
  <si>
    <t>Date</t>
  </si>
  <si>
    <t>&lt;20</t>
    <phoneticPr fontId="12" type="noConversion"/>
  </si>
  <si>
    <t>20.1-25</t>
    <phoneticPr fontId="12" type="noConversion"/>
  </si>
  <si>
    <t>25.1-30</t>
    <phoneticPr fontId="12" type="noConversion"/>
  </si>
  <si>
    <t>30.1-35</t>
    <phoneticPr fontId="12" type="noConversion"/>
  </si>
  <si>
    <t>35.1-40</t>
    <phoneticPr fontId="12" type="noConversion"/>
  </si>
  <si>
    <t>40.1-45</t>
    <phoneticPr fontId="12" type="noConversion"/>
  </si>
  <si>
    <t>45.1-50</t>
    <phoneticPr fontId="12" type="noConversion"/>
  </si>
  <si>
    <t>50.1-55</t>
    <phoneticPr fontId="12" type="noConversion"/>
  </si>
  <si>
    <t>&gt;55</t>
    <phoneticPr fontId="12" type="noConversion"/>
  </si>
  <si>
    <t>轻</t>
    <phoneticPr fontId="12" type="noConversion"/>
  </si>
  <si>
    <t>中</t>
    <phoneticPr fontId="12" type="noConversion"/>
  </si>
  <si>
    <t>重</t>
    <phoneticPr fontId="12" type="noConversion"/>
  </si>
  <si>
    <t>&lt;22.3</t>
    <phoneticPr fontId="12" type="noConversion"/>
  </si>
  <si>
    <t>&gt;31.1</t>
    <phoneticPr fontId="12" type="noConversion"/>
  </si>
  <si>
    <t>陆地</t>
    <phoneticPr fontId="12" type="noConversion"/>
  </si>
  <si>
    <t>f*海洋</t>
    <phoneticPr fontId="12" type="noConversion"/>
  </si>
  <si>
    <t>不透水权重</t>
    <phoneticPr fontId="12" type="noConversion"/>
  </si>
  <si>
    <t>透水</t>
    <phoneticPr fontId="12" type="noConversion"/>
  </si>
  <si>
    <t>不透水</t>
    <phoneticPr fontId="12" type="noConversion"/>
  </si>
  <si>
    <t>APAHs15</t>
    <phoneticPr fontId="12" type="noConversion"/>
  </si>
  <si>
    <t>APAHs11</t>
    <phoneticPr fontId="12" type="noConversion"/>
  </si>
  <si>
    <t>12-MeNAP</t>
    <phoneticPr fontId="12" type="noConversion"/>
  </si>
  <si>
    <t>Gg</t>
    <phoneticPr fontId="12" type="noConversion"/>
  </si>
  <si>
    <t>Transportation</t>
    <phoneticPr fontId="12" type="noConversion"/>
  </si>
  <si>
    <t>Residential</t>
    <phoneticPr fontId="12" type="noConversion"/>
  </si>
  <si>
    <t>Commercial</t>
    <phoneticPr fontId="12" type="noConversion"/>
  </si>
  <si>
    <t>Agricultural</t>
    <phoneticPr fontId="12" type="noConversion"/>
  </si>
  <si>
    <t>Natural(fires &amp; volcano)</t>
    <phoneticPr fontId="12" type="noConversion"/>
  </si>
  <si>
    <t>Industrial processes</t>
    <phoneticPr fontId="12" type="noConversion"/>
  </si>
  <si>
    <t>Electric generation</t>
    <phoneticPr fontId="12" type="noConversion"/>
  </si>
  <si>
    <t>Industrial combustion</t>
    <phoneticPr fontId="12" type="noConversion"/>
  </si>
  <si>
    <t>C3-fluorenes</t>
    <phoneticPr fontId="12" type="noConversion"/>
  </si>
  <si>
    <t>C3-chrysenes</t>
    <phoneticPr fontId="12" type="noConversion"/>
  </si>
  <si>
    <t>Oil name</t>
    <phoneticPr fontId="12" type="noConversion"/>
  </si>
  <si>
    <t>AGI gravity</t>
    <phoneticPr fontId="12" type="noConversion"/>
  </si>
  <si>
    <t>Evaporation equation</t>
    <phoneticPr fontId="12" type="noConversion"/>
  </si>
  <si>
    <t>Aromatic rate/%</t>
    <phoneticPr fontId="12" type="noConversion"/>
  </si>
  <si>
    <t>Alaska North Slope 2010</t>
  </si>
  <si>
    <t>%Ev=(2.58+0.045T)lnt</t>
    <phoneticPr fontId="12" type="noConversion"/>
  </si>
  <si>
    <t>Alaska North Slope (Middle Pipeline)</t>
  </si>
  <si>
    <t>%Ev=(2.64+0.045T)lnt</t>
    <phoneticPr fontId="12" type="noConversion"/>
  </si>
  <si>
    <t>Alaska North Slope (Northern Pipeline)</t>
  </si>
  <si>
    <t>\</t>
    <phoneticPr fontId="12" type="noConversion"/>
  </si>
  <si>
    <t>Alaska North Slope (Southern Pipeline)</t>
  </si>
  <si>
    <t>%Ev=(2.47+0.045T)lnt</t>
    <phoneticPr fontId="12" type="noConversion"/>
  </si>
  <si>
    <t>Alaska North Slope (C)</t>
  </si>
  <si>
    <t>%Ev=(2.86+0.045T)lnt</t>
    <phoneticPr fontId="12" type="noConversion"/>
  </si>
  <si>
    <t>Alberta Sweet Mixed Blend Reference #4</t>
  </si>
  <si>
    <t>%Ev=(3.24+0.054T)lnt</t>
    <phoneticPr fontId="12" type="noConversion"/>
  </si>
  <si>
    <t>%Ev=(3.35+0.045T)lnt</t>
    <phoneticPr fontId="12" type="noConversion"/>
  </si>
  <si>
    <t>Arabian Light (2000)</t>
  </si>
  <si>
    <t>%Ev=(2.4+0.045T)lnt</t>
    <phoneticPr fontId="12" type="noConversion"/>
  </si>
  <si>
    <t>%Ev=(1.89+0.045T)lnt</t>
    <phoneticPr fontId="12" type="noConversion"/>
  </si>
  <si>
    <t>%Ev=(1.41+0.045T)lnt</t>
    <phoneticPr fontId="12" type="noConversion"/>
  </si>
  <si>
    <t>Aviation Gasoline 80</t>
  </si>
  <si>
    <t>%Ev=(15.4+0.045T)lnt</t>
    <phoneticPr fontId="12" type="noConversion"/>
  </si>
  <si>
    <t>%Ev=(0.5+0.045T)lnt</t>
    <phoneticPr fontId="12" type="noConversion"/>
  </si>
  <si>
    <t>Barrow Island</t>
  </si>
  <si>
    <t>%Ev=(4.67+0.045T)lnt</t>
    <phoneticPr fontId="12" type="noConversion"/>
  </si>
  <si>
    <t>Belridge Heavy</t>
  </si>
  <si>
    <t>%Ev=(0.03+0.013T)*sqrt(t)</t>
    <phoneticPr fontId="12" type="noConversion"/>
  </si>
  <si>
    <t>Bent Horn A-02</t>
  </si>
  <si>
    <t>%Ev=(3.19+0.045T)lnt</t>
    <phoneticPr fontId="12" type="noConversion"/>
  </si>
  <si>
    <t>Brent Blend</t>
  </si>
  <si>
    <t>%Ev=(3.39+0.048T)lnt</t>
    <phoneticPr fontId="12" type="noConversion"/>
  </si>
  <si>
    <t>Bunker C Fuel Oil (Alaska)</t>
  </si>
  <si>
    <t>California API 15</t>
  </si>
  <si>
    <t>%Ev=(-0.14+0.013T)*sqrt(t)</t>
    <phoneticPr fontId="12" type="noConversion"/>
  </si>
  <si>
    <t>California API 11</t>
  </si>
  <si>
    <t>%Ev=(-0.13+0.013T)*sqrt(t)</t>
    <phoneticPr fontId="12" type="noConversion"/>
  </si>
  <si>
    <t>Cano Limon</t>
  </si>
  <si>
    <t>%Ev=(1.71+0.045T)lnt</t>
    <phoneticPr fontId="12" type="noConversion"/>
  </si>
  <si>
    <t>Carpinteria</t>
  </si>
  <si>
    <t>%Ev=(1.68+0.045T)lnt</t>
    <phoneticPr fontId="12" type="noConversion"/>
  </si>
  <si>
    <t>Fluid Catalytic Cracker Medium Cycle Oil</t>
  </si>
  <si>
    <t>%Ev=(-0.16+0.013T)*sqrt(t)</t>
    <phoneticPr fontId="12" type="noConversion"/>
  </si>
  <si>
    <t>Catalytic Cracking Feed</t>
  </si>
  <si>
    <t>%Ev=(-0.18+0.013T)*sqrt(t)</t>
    <phoneticPr fontId="12" type="noConversion"/>
  </si>
  <si>
    <t>Cusiana</t>
  </si>
  <si>
    <t>%Ev=(3.39+0.045T)lnt</t>
    <phoneticPr fontId="12" type="noConversion"/>
  </si>
  <si>
    <t>Diesel 2002</t>
  </si>
  <si>
    <t>%Ev=(0.02+0.013T)*sqrt(t)</t>
    <phoneticPr fontId="12" type="noConversion"/>
  </si>
  <si>
    <t>Diesel Fuel Oil (Alaska)</t>
  </si>
  <si>
    <t>T</t>
    <phoneticPr fontId="12" type="noConversion"/>
  </si>
  <si>
    <t>t 1day</t>
    <phoneticPr fontId="12" type="noConversion"/>
  </si>
  <si>
    <t>t 5days</t>
    <phoneticPr fontId="12" type="noConversion"/>
  </si>
  <si>
    <t>a</t>
    <phoneticPr fontId="12" type="noConversion"/>
  </si>
  <si>
    <t>b</t>
    <phoneticPr fontId="12" type="noConversion"/>
  </si>
  <si>
    <t>Mississippi Canyon Block 72</t>
  </si>
  <si>
    <t>%Ev=(2.15+0.045T)lnt</t>
    <phoneticPr fontId="12" type="noConversion"/>
  </si>
  <si>
    <t>Mississippi Canyon Block 194</t>
  </si>
  <si>
    <t>%Ev=(2.62+0.045T)lnt</t>
    <phoneticPr fontId="12" type="noConversion"/>
  </si>
  <si>
    <t>Dos Cuadras</t>
  </si>
  <si>
    <t>%Ev=(1.88+0.045T)lnt</t>
    <phoneticPr fontId="12" type="noConversion"/>
  </si>
  <si>
    <t>Ekofisk</t>
  </si>
  <si>
    <t>%Ev=(4.92+0.045T)lnt</t>
    <phoneticPr fontId="12" type="noConversion"/>
  </si>
  <si>
    <t>Empire</t>
  </si>
  <si>
    <t>%Ev=(2.21+0.045T)lnt</t>
    <phoneticPr fontId="12" type="noConversion"/>
  </si>
  <si>
    <t>Endicott</t>
  </si>
  <si>
    <t>%Ev=(0.90+0.045T)lnt</t>
    <phoneticPr fontId="12" type="noConversion"/>
  </si>
  <si>
    <t>Eugene Island Block 32</t>
  </si>
  <si>
    <t>Fuel Oil No. 5 (2000)</t>
  </si>
  <si>
    <t>Green Canyon Block 65</t>
  </si>
  <si>
    <t>%Ev=(1.56+0.045T)lnt</t>
    <phoneticPr fontId="12" type="noConversion"/>
  </si>
  <si>
    <t>Heavy Fuel Oil 6303 (2002)</t>
  </si>
  <si>
    <t xml:space="preserve">Hondo </t>
    <phoneticPr fontId="12" type="noConversion"/>
  </si>
  <si>
    <t>%Ev=(1.49+0.045T)lnt</t>
    <phoneticPr fontId="12" type="noConversion"/>
  </si>
  <si>
    <t>Intermediate Fuel Oil 180</t>
  </si>
  <si>
    <t>%Ev=(-0.12+0.013T)*sqrt(t)</t>
    <phoneticPr fontId="12" type="noConversion"/>
  </si>
  <si>
    <t xml:space="preserve">Evaporated rate/% （25℃, 6 Days） </t>
    <phoneticPr fontId="12" type="noConversion"/>
  </si>
  <si>
    <t xml:space="preserve">Evaporated rate/% （25℃, 1 Day） </t>
    <phoneticPr fontId="12" type="noConversion"/>
  </si>
  <si>
    <t>correction factor</t>
    <phoneticPr fontId="12" type="noConversion"/>
  </si>
  <si>
    <t>Chayvo 6</t>
    <phoneticPr fontId="12" type="noConversion"/>
  </si>
  <si>
    <t>Aviation Gasoline 100LL</t>
    <phoneticPr fontId="12" type="noConversion"/>
  </si>
  <si>
    <t>Avalon</t>
    <phoneticPr fontId="12" type="noConversion"/>
  </si>
  <si>
    <t>%Ev=(4.54+0.045T)lnt (&gt;5days)
%Ev=(0.51+0.013T)*sqrt(t) (&lt;5days)</t>
    <phoneticPr fontId="12" type="noConversion"/>
  </si>
  <si>
    <t>%Ev=(0.31+0.045T)lnt (&gt;5days)
%Ev=(-0.13+0.013T)*sqrt(t) (&lt;5days)</t>
    <phoneticPr fontId="12" type="noConversion"/>
  </si>
  <si>
    <t>1239-MePHE</t>
    <phoneticPr fontId="12" type="noConversion"/>
  </si>
  <si>
    <t>Gg</t>
    <phoneticPr fontId="12" type="noConversion"/>
  </si>
  <si>
    <t>%Ev=(3.52+0.045T)lnt</t>
    <phoneticPr fontId="12" type="noConversion"/>
  </si>
  <si>
    <t>Everdell</t>
  </si>
  <si>
    <t>%Ev=(3.38+0.045T)ln(t)</t>
    <phoneticPr fontId="12" type="noConversion"/>
  </si>
  <si>
    <t>Federated (1998)</t>
  </si>
  <si>
    <t>%Ev=(3.45+0.045T)ln(t)</t>
    <phoneticPr fontId="12" type="noConversion"/>
  </si>
  <si>
    <t>Fluid Catalytic Cracker Heavy Cycle Oil</t>
  </si>
  <si>
    <t>%Ev=(0.17+0.013T)*sqrt(t)</t>
    <phoneticPr fontId="12" type="noConversion"/>
  </si>
  <si>
    <t>Fluid Catalytic Cracker Light Cycle Oil</t>
  </si>
  <si>
    <t>%Ev=(-0.17+0.013T)*sqrt(t)</t>
    <phoneticPr fontId="12" type="noConversion"/>
  </si>
  <si>
    <t>Garden Banks Block 387</t>
  </si>
  <si>
    <t>%Ev=(1.84+0.045T)ln(t)</t>
    <phoneticPr fontId="12" type="noConversion"/>
  </si>
  <si>
    <t>Genesis</t>
  </si>
  <si>
    <t>%Ev=(2.12+0.045T)ln(t)</t>
    <phoneticPr fontId="12" type="noConversion"/>
  </si>
  <si>
    <t>Granite Point</t>
  </si>
  <si>
    <t>%Ev=(4.54+0.045T)ln(t)</t>
    <phoneticPr fontId="12" type="noConversion"/>
  </si>
  <si>
    <t>Green Canyon Block 109</t>
  </si>
  <si>
    <t>%Ev=(1.58+0.045T)ln(t)</t>
    <phoneticPr fontId="12" type="noConversion"/>
  </si>
  <si>
    <t>Green Canyon Block 184</t>
  </si>
  <si>
    <t>%Ev=(3.55+0.045T)ln(t)</t>
    <phoneticPr fontId="12" type="noConversion"/>
  </si>
  <si>
    <t>Gullfaks</t>
  </si>
  <si>
    <t>%Ev=(2.29+0.034T)ln(t)</t>
    <phoneticPr fontId="12" type="noConversion"/>
  </si>
  <si>
    <t>Hebron M-04</t>
  </si>
  <si>
    <t>%Ev=(1.01+0.045T)ln(t)</t>
    <phoneticPr fontId="12" type="noConversion"/>
  </si>
  <si>
    <t>Heidrun</t>
  </si>
  <si>
    <t>%Ev=(1.95+0.045T)ln(t)</t>
    <phoneticPr fontId="12" type="noConversion"/>
  </si>
  <si>
    <t>Hibernia (1999)</t>
  </si>
  <si>
    <t>%Ev=(2.18+0.045T)ln(t)</t>
    <phoneticPr fontId="12" type="noConversion"/>
  </si>
  <si>
    <t>Hout</t>
  </si>
  <si>
    <t>%Ev=(2.29+0.045T)ln(t)</t>
    <phoneticPr fontId="12" type="noConversion"/>
  </si>
  <si>
    <t>Issungnak</t>
  </si>
  <si>
    <t>%Ev=(1.56+0.045T)ln(t)</t>
    <phoneticPr fontId="12" type="noConversion"/>
  </si>
  <si>
    <t>Jet A/Jet A-1</t>
  </si>
  <si>
    <t>%Ev=(0.59+0.013T)ln(t)</t>
    <phoneticPr fontId="12" type="noConversion"/>
  </si>
  <si>
    <t>Louisiana</t>
  </si>
  <si>
    <t>%Ev=(2.39+0.045T)ln(t)</t>
    <phoneticPr fontId="12" type="noConversion"/>
  </si>
  <si>
    <t>Lubricating Oil (Industrial, Teresso 46)</t>
  </si>
  <si>
    <t>%Ev=(-0.67+0.045T)ln(t)</t>
    <phoneticPr fontId="12" type="noConversion"/>
  </si>
  <si>
    <t>Lubricating Oil (Turbine, STO 120)</t>
  </si>
  <si>
    <t>%Ev=(-0.68+0.045T)ln(t)</t>
    <phoneticPr fontId="12" type="noConversion"/>
  </si>
  <si>
    <t>Macondo</t>
  </si>
  <si>
    <t>%Ev=(3.0+0.045T)ln(t)</t>
    <phoneticPr fontId="12" type="noConversion"/>
  </si>
  <si>
    <t>Main Pass Block 37</t>
  </si>
  <si>
    <t>%Ev=(3.04+0.045T)ln(t)</t>
    <phoneticPr fontId="12" type="noConversion"/>
  </si>
  <si>
    <t>Malongo</t>
  </si>
  <si>
    <t>%Ev=(1.67+0.045T)ln(t)</t>
    <phoneticPr fontId="12" type="noConversion"/>
  </si>
  <si>
    <t>Maya</t>
    <phoneticPr fontId="12" type="noConversion"/>
  </si>
  <si>
    <t>%Ev=(1.38+0.045T)ln(t)</t>
    <phoneticPr fontId="12" type="noConversion"/>
  </si>
  <si>
    <t>%Ev=(2.15+0.045T)ln(t)</t>
    <phoneticPr fontId="12" type="noConversion"/>
  </si>
  <si>
    <t>Neptune SPAR</t>
  </si>
  <si>
    <t>%Ev=(3.75+0.045T)ln(t)</t>
    <phoneticPr fontId="12" type="noConversion"/>
  </si>
  <si>
    <t>%Ev=(3.11+0.045T)ln(t)</t>
    <phoneticPr fontId="12" type="noConversion"/>
  </si>
  <si>
    <t>Odoptu</t>
  </si>
  <si>
    <t>%Ev=(4.27+0.45T)ln(t)</t>
    <phoneticPr fontId="12" type="noConversion"/>
  </si>
  <si>
    <t>Panuke</t>
  </si>
  <si>
    <t>%Ev=(7.12+0.045T)ln(t)</t>
    <phoneticPr fontId="12" type="noConversion"/>
  </si>
  <si>
    <t>Petronius Block VK786A</t>
  </si>
  <si>
    <t>%Ev=(2.27+0.013T)*sqrt(t)</t>
    <phoneticPr fontId="12" type="noConversion"/>
  </si>
  <si>
    <t>Pitas point</t>
  </si>
  <si>
    <t>%Ev=(7.04+0.045T)ln(t)</t>
    <phoneticPr fontId="12" type="noConversion"/>
  </si>
  <si>
    <t>Platform Gail</t>
  </si>
  <si>
    <t>%Ev=(1.68+0.045T)ln(t)</t>
    <phoneticPr fontId="12" type="noConversion"/>
  </si>
  <si>
    <t>Platform Holly</t>
  </si>
  <si>
    <t>%Ev=(1.09+0.045T)ln(t)</t>
    <phoneticPr fontId="12" type="noConversion"/>
  </si>
  <si>
    <t>Point Arguello Comingled</t>
  </si>
  <si>
    <t>%Ev=(1.43+0.045T)ln(t)</t>
    <phoneticPr fontId="12" type="noConversion"/>
  </si>
  <si>
    <t>Point Arguello Light</t>
  </si>
  <si>
    <t>%Ev=(2.37+0.045T)ln(t)</t>
    <phoneticPr fontId="12" type="noConversion"/>
  </si>
  <si>
    <t>Rangely</t>
    <phoneticPr fontId="12" type="noConversion"/>
  </si>
  <si>
    <t>%Ev=(1.89+0.045T)ln(t)</t>
    <phoneticPr fontId="12" type="noConversion"/>
  </si>
  <si>
    <t>Sakhalin</t>
  </si>
  <si>
    <t>%Ev=(4.16+0.045T)ln(t)</t>
    <phoneticPr fontId="12" type="noConversion"/>
  </si>
  <si>
    <t>Santa Clara</t>
  </si>
  <si>
    <t>%Ev=(1.63+0.045T)ln(t)</t>
    <phoneticPr fontId="12" type="noConversion"/>
  </si>
  <si>
    <t>Scotian Light</t>
  </si>
  <si>
    <t>%Ev=(6.9+0.045T)ln(t)</t>
    <phoneticPr fontId="12" type="noConversion"/>
  </si>
  <si>
    <t>Ship Shoal Block 269</t>
  </si>
  <si>
    <t>%Ev=(3.37+0.045T)ln(t)</t>
    <phoneticPr fontId="12" type="noConversion"/>
  </si>
  <si>
    <t>%Ev=(1.52+0.045T)ln(t)</t>
    <phoneticPr fontId="12" type="noConversion"/>
  </si>
  <si>
    <t>Sockeye Comingled</t>
  </si>
  <si>
    <t>%Ev=(2.14+0.045T)ln(t)</t>
    <phoneticPr fontId="12" type="noConversion"/>
  </si>
  <si>
    <t>South Louisiana (2001)</t>
  </si>
  <si>
    <t>%Ev=(2.74+0.045T)ln(t)</t>
    <phoneticPr fontId="12" type="noConversion"/>
  </si>
  <si>
    <t>South Pass Block 60</t>
  </si>
  <si>
    <t>%Ev=(2.91+0.045T)ln(t)</t>
    <phoneticPr fontId="12" type="noConversion"/>
  </si>
  <si>
    <t>South Timbalier Block 130</t>
  </si>
  <si>
    <t>%Ev=(2.77+0.045T)ln(t)</t>
    <phoneticPr fontId="12" type="noConversion"/>
  </si>
  <si>
    <t>Statfjord</t>
  </si>
  <si>
    <t>%Ev=(2.67+0.060T)ln(t)</t>
    <phoneticPr fontId="12" type="noConversion"/>
  </si>
  <si>
    <t>Sumatran Heavy</t>
  </si>
  <si>
    <t>%Ev=(-0.11+0.013T)*sqrt(t)</t>
    <phoneticPr fontId="12" type="noConversion"/>
  </si>
  <si>
    <t>Sumatran Light</t>
  </si>
  <si>
    <t>%Ev=(0.96+0.045T)ln(t)</t>
    <phoneticPr fontId="12" type="noConversion"/>
  </si>
  <si>
    <t>Swanson River</t>
  </si>
  <si>
    <t>%Ev=(3.58+0.045T)ln(t)</t>
    <phoneticPr fontId="12" type="noConversion"/>
  </si>
  <si>
    <t>Takula</t>
  </si>
  <si>
    <t>Tapis Blend</t>
  </si>
  <si>
    <t>Terra Nova (1994)</t>
  </si>
  <si>
    <t>%Ev=(1.36+0.045T)ln(t)</t>
    <phoneticPr fontId="12" type="noConversion"/>
  </si>
  <si>
    <t>Thevenard Island</t>
  </si>
  <si>
    <t>%Ev=(5.74+0.045T)ln(t)</t>
    <phoneticPr fontId="12" type="noConversion"/>
  </si>
  <si>
    <t>Viosca Knoll Block 990</t>
  </si>
  <si>
    <t>%Ev=(3.16+0.045T)ln(t)</t>
    <phoneticPr fontId="12" type="noConversion"/>
  </si>
  <si>
    <t>Waxy Light Heavy Blend</t>
  </si>
  <si>
    <t>West Delta Block 97</t>
  </si>
  <si>
    <t>%Ev=(6.57+0.045T)ln(t)</t>
    <phoneticPr fontId="12" type="noConversion"/>
  </si>
  <si>
    <t>West Texas Intermediate (2002)</t>
  </si>
  <si>
    <t>%Ev=(3.08+0.045T)ln(t)</t>
    <phoneticPr fontId="12" type="noConversion"/>
  </si>
  <si>
    <t>Zaire</t>
  </si>
  <si>
    <t>C3-naphthalenes</t>
  </si>
  <si>
    <t>C1-phenanthrenes</t>
  </si>
  <si>
    <t>C4-phenanthrenes</t>
  </si>
  <si>
    <t>C1-fluorenes</t>
  </si>
  <si>
    <t>C1-chrysenes</t>
  </si>
  <si>
    <t>C0-naphthalene</t>
  </si>
  <si>
    <t>C0-phenanthrene</t>
  </si>
  <si>
    <t>C0-fluorene</t>
  </si>
  <si>
    <t>C0-chrysene</t>
  </si>
  <si>
    <t>NAP</t>
  </si>
  <si>
    <t>PHE</t>
  </si>
  <si>
    <t>FLN</t>
  </si>
  <si>
    <t>CHR</t>
  </si>
  <si>
    <t>Diesel No.2</t>
  </si>
  <si>
    <t>Bunker B(Fuel No.5)</t>
  </si>
  <si>
    <t>Bunker C(Fuel No.6)</t>
  </si>
  <si>
    <t>C1-Benz[a]anthracenes/chrysenes</t>
    <phoneticPr fontId="12" type="noConversion"/>
  </si>
  <si>
    <t>Hollebone et al., 2015</t>
  </si>
  <si>
    <t>Yin et al., 2015</t>
  </si>
  <si>
    <t>Incardona et al., 2014</t>
  </si>
  <si>
    <t>Wang et al., 2003</t>
  </si>
  <si>
    <t>Wang et al., 2003</t>
    <phoneticPr fontId="12" type="noConversion"/>
  </si>
  <si>
    <t>Hollebone et al., 2015</t>
    <phoneticPr fontId="12" type="noConversion"/>
  </si>
  <si>
    <t>Goto et al. 2021</t>
  </si>
  <si>
    <t>Goto et al. 2021</t>
    <phoneticPr fontId="12" type="noConversion"/>
  </si>
  <si>
    <t>Classify</t>
    <phoneticPr fontId="12" type="noConversion"/>
  </si>
  <si>
    <t>Light</t>
    <phoneticPr fontId="12" type="noConversion"/>
  </si>
  <si>
    <t>Medium</t>
    <phoneticPr fontId="12" type="noConversion"/>
  </si>
  <si>
    <t>Heavy</t>
    <phoneticPr fontId="12" type="noConversion"/>
  </si>
  <si>
    <t>Oil sands</t>
    <phoneticPr fontId="12" type="noConversion"/>
  </si>
  <si>
    <t xml:space="preserve">C1-NAP </t>
    <phoneticPr fontId="12" type="noConversion"/>
  </si>
  <si>
    <t>C2-NAP</t>
  </si>
  <si>
    <t>C3-NAP</t>
  </si>
  <si>
    <t>C4-NAP</t>
  </si>
  <si>
    <t xml:space="preserve">C1-PHE </t>
    <phoneticPr fontId="12" type="noConversion"/>
  </si>
  <si>
    <t>C2-PHE</t>
  </si>
  <si>
    <t>C3-PHE</t>
  </si>
  <si>
    <t>C4-PHE</t>
  </si>
  <si>
    <t xml:space="preserve">C1-CHR </t>
    <phoneticPr fontId="12" type="noConversion"/>
  </si>
  <si>
    <t>C2-CHR</t>
  </si>
  <si>
    <t>C3-CHR</t>
  </si>
  <si>
    <t>C4-CHR</t>
  </si>
  <si>
    <t>C1-FLO</t>
    <phoneticPr fontId="12" type="noConversion"/>
  </si>
  <si>
    <t>C2-FLO</t>
  </si>
  <si>
    <t>C3-FLO</t>
  </si>
  <si>
    <t>ACY</t>
  </si>
  <si>
    <t>ACE</t>
  </si>
  <si>
    <t>ANT</t>
  </si>
  <si>
    <t>PYR</t>
  </si>
  <si>
    <t>FLO</t>
    <phoneticPr fontId="12" type="noConversion"/>
  </si>
  <si>
    <t>FLA</t>
    <phoneticPr fontId="12" type="noConversion"/>
  </si>
  <si>
    <t>BaA</t>
    <phoneticPr fontId="12" type="noConversion"/>
  </si>
  <si>
    <t>BbF</t>
    <phoneticPr fontId="12" type="noConversion"/>
  </si>
  <si>
    <t>BkF</t>
    <phoneticPr fontId="12" type="noConversion"/>
  </si>
  <si>
    <t>BaP</t>
    <phoneticPr fontId="12" type="noConversion"/>
  </si>
  <si>
    <t>DahA</t>
    <phoneticPr fontId="12" type="noConversion"/>
  </si>
  <si>
    <t>IcdP</t>
    <phoneticPr fontId="12" type="noConversion"/>
  </si>
  <si>
    <t>Wang 2003 b+k</t>
    <phoneticPr fontId="12" type="noConversion"/>
  </si>
  <si>
    <t>Light oils</t>
    <phoneticPr fontId="12" type="noConversion"/>
  </si>
  <si>
    <t>Medium oils</t>
    <phoneticPr fontId="12" type="noConversion"/>
  </si>
  <si>
    <t>Heavy oils</t>
    <phoneticPr fontId="12" type="noConversion"/>
  </si>
  <si>
    <t>Folder</t>
  </si>
  <si>
    <t>File</t>
  </si>
  <si>
    <t>Species</t>
  </si>
  <si>
    <t>TotalFlux</t>
  </si>
  <si>
    <t>PAH16</t>
  </si>
  <si>
    <t>GEMS_tot_ACE_2021_annual.nc</t>
  </si>
  <si>
    <t>GEMS_tot_ACY_2021_annual.nc</t>
  </si>
  <si>
    <t>GEMS_tot_ANT_2021_annual.nc</t>
  </si>
  <si>
    <t>GEMS_tot_BaA_2021_annual.nc</t>
  </si>
  <si>
    <t>BaA</t>
  </si>
  <si>
    <t>GEMS_tot_BaP_2021_annual.nc</t>
  </si>
  <si>
    <t>BaP</t>
  </si>
  <si>
    <t>GEMS_tot_BbF_2021_annual.nc</t>
  </si>
  <si>
    <t>BbF</t>
  </si>
  <si>
    <t>GEMS_tot_BghiP_2021_annual.nc</t>
  </si>
  <si>
    <t>BghiP</t>
  </si>
  <si>
    <t>GEMS_tot_BkF_2021_annual.nc</t>
  </si>
  <si>
    <t>BkF</t>
  </si>
  <si>
    <t>GEMS_tot_CHR_2021_annual.nc</t>
  </si>
  <si>
    <t>GEMS_tot_DahA_2021_annual.nc</t>
  </si>
  <si>
    <t>DahA</t>
  </si>
  <si>
    <t>GEMS_tot_FLA_2021_annual.nc</t>
  </si>
  <si>
    <t>FLA</t>
  </si>
  <si>
    <t>GEMS_tot_FLO_2021_annual.nc</t>
  </si>
  <si>
    <t>FLO</t>
  </si>
  <si>
    <t>GEMS_tot_IcdP_2021_annual.nc</t>
  </si>
  <si>
    <t>IcdP</t>
  </si>
  <si>
    <t>GEMS_tot_NAP_2021_annual.nc</t>
  </si>
  <si>
    <t>GEMS_tot_PHE_2021_annual.nc</t>
  </si>
  <si>
    <t>GEMS_tot_PYR_2021_annual.nc</t>
  </si>
  <si>
    <t>PAH40</t>
  </si>
  <si>
    <t>GEMS_tot_1-MeNAP_2021_annual.nc</t>
  </si>
  <si>
    <t>1-MeNAP</t>
  </si>
  <si>
    <t>GEMS_tot_1-MePHE_2021_annual.nc</t>
  </si>
  <si>
    <t>1-MePHE</t>
  </si>
  <si>
    <t>GEMS_tot_1-MePYR_2021_annual.nc</t>
  </si>
  <si>
    <t>1-MePYR</t>
  </si>
  <si>
    <t>GEMS_tot_2-MeANT_2021_annual.nc</t>
  </si>
  <si>
    <t>2-MeANT</t>
  </si>
  <si>
    <t>GEMS_tot_2-MeFLO_2021_annual.nc</t>
  </si>
  <si>
    <t>2-MeFLO</t>
  </si>
  <si>
    <t>GEMS_tot_2-MeNAP_2021_annual.nc</t>
  </si>
  <si>
    <t>2-MeNAP</t>
  </si>
  <si>
    <t>GEMS_tot_2-MePHE_2021_annual.nc</t>
  </si>
  <si>
    <t>2-MePHE</t>
  </si>
  <si>
    <t>GEMS_tot_3-MePHE_2021_annual.nc</t>
  </si>
  <si>
    <t>3-MePHE</t>
  </si>
  <si>
    <t>GEMS_tot_9-MeANT_2021_annual.nc</t>
  </si>
  <si>
    <t>9-MeANT</t>
  </si>
  <si>
    <t>GEMS_tot_9-MePHE_2021_annual.nc</t>
  </si>
  <si>
    <t>9-MePHE</t>
  </si>
  <si>
    <t>GEMS_tot_AA_2021_annual.nc</t>
  </si>
  <si>
    <t>AA</t>
  </si>
  <si>
    <t>GEMS_tot_BaF_2021_annual.nc</t>
  </si>
  <si>
    <t>BaF</t>
  </si>
  <si>
    <t>GEMS_tot_BcP_2021_annual.nc</t>
  </si>
  <si>
    <t>BcP</t>
  </si>
  <si>
    <t>GEMS_tot_BeP_2021_annual.nc</t>
  </si>
  <si>
    <t>BeP</t>
  </si>
  <si>
    <t>GEMS_tot_BghiF_2021_annual.nc</t>
  </si>
  <si>
    <t>BghiF</t>
  </si>
  <si>
    <t>GEMS_tot_BjF_2021_annual.nc</t>
  </si>
  <si>
    <t>BjF</t>
  </si>
  <si>
    <t>GEMS_tot_COR_2021_annual.nc</t>
  </si>
  <si>
    <t>COR</t>
  </si>
  <si>
    <t>GEMS_tot_CcdP_2021_annual.nc</t>
  </si>
  <si>
    <t>CcdP</t>
  </si>
  <si>
    <t>GEMS_tot_DaeP_2021_annual.nc</t>
  </si>
  <si>
    <t>DaeP</t>
  </si>
  <si>
    <t>GEMS_tot_DahP_2021_annual.nc</t>
  </si>
  <si>
    <t>DahP</t>
  </si>
  <si>
    <t>GEMS_tot_DaiP_2021_annual.nc</t>
  </si>
  <si>
    <t>DaiP</t>
  </si>
  <si>
    <t>GEMS_tot_DalP_2021_annual.nc</t>
  </si>
  <si>
    <t>DalP</t>
  </si>
  <si>
    <t>GEMS_tot_PER_2021_annual.nc</t>
  </si>
  <si>
    <t>PER</t>
  </si>
  <si>
    <t>GEMS_tot_RET_2021_annual.nc</t>
  </si>
  <si>
    <t>RET</t>
  </si>
  <si>
    <t>different sources</t>
  </si>
  <si>
    <t>GEMS_agr_1-MeNAP_2021_annual.nc</t>
  </si>
  <si>
    <t>GEMS_agr_1-MePHE_2021_annual.nc</t>
  </si>
  <si>
    <t>GEMS_agr_2-MeNAP_2021_annual.nc</t>
  </si>
  <si>
    <t>GEMS_agr_2-MePHE_2021_annual.nc</t>
  </si>
  <si>
    <t>GEMS_agr_3-MePHE_2021_annual.nc</t>
  </si>
  <si>
    <t>GEMS_agr_9-MePHE_2021_annual.nc</t>
  </si>
  <si>
    <t>GEMS_com_1-MeNAP_2021_annual.nc</t>
  </si>
  <si>
    <t>GEMS_com_1-MePHE_2021_annual.nc</t>
  </si>
  <si>
    <t>GEMS_com_2-MeNAP_2021_annual.nc</t>
  </si>
  <si>
    <t>GEMS_com_2-MePHE_2021_annual.nc</t>
  </si>
  <si>
    <t>GEMS_com_3-MePHE_2021_annual.nc</t>
  </si>
  <si>
    <t>GEMS_com_9-MePHE_2021_annual.nc</t>
  </si>
  <si>
    <t>GEMS_ico_1-MeNAP_2021_annual.nc</t>
  </si>
  <si>
    <t>GEMS_ico_1-MePHE_2021_annual.nc</t>
  </si>
  <si>
    <t>GEMS_ico_2-MeNAP_2021_annual.nc</t>
  </si>
  <si>
    <t>GEMS_ico_2-MePHE_2021_annual.nc</t>
  </si>
  <si>
    <t>GEMS_ico_3-MePHE_2021_annual.nc</t>
  </si>
  <si>
    <t>GEMS_ico_9-MePHE_2021_annual.nc</t>
  </si>
  <si>
    <t>GEMS_ipr_1-MeNAP_2021_annual.nc</t>
  </si>
  <si>
    <t>GEMS_ipr_1-MePHE_2021_annual.nc</t>
  </si>
  <si>
    <t>GEMS_ipr_2-MeNAP_2021_annual.nc</t>
  </si>
  <si>
    <t>GEMS_ipr_2-MePHE_2021_annual.nc</t>
  </si>
  <si>
    <t>GEMS_ipr_3-MePHE_2021_annual.nc</t>
  </si>
  <si>
    <t>GEMS_ipr_9-MePHE_2021_annual.nc</t>
  </si>
  <si>
    <t>GEMS_nat_1-MeNAP_2021_annual.nc</t>
  </si>
  <si>
    <t>GEMS_nat_1-MePHE_2021_annual.nc</t>
  </si>
  <si>
    <t>GEMS_nat_2-MeNAP_2021_annual.nc</t>
  </si>
  <si>
    <t>GEMS_nat_2-MePHE_2021_annual.nc</t>
  </si>
  <si>
    <t>GEMS_nat_3-MePHE_2021_annual.nc</t>
  </si>
  <si>
    <t>GEMS_nat_9-MePHE_2021_annual.nc</t>
  </si>
  <si>
    <t>GEMS_pow_1-MeNAP_2021_annual.nc</t>
  </si>
  <si>
    <t>GEMS_pow_1-MePHE_2021_annual.nc</t>
  </si>
  <si>
    <t>GEMS_pow_2-MeNAP_2021_annual.nc</t>
  </si>
  <si>
    <t>GEMS_pow_2-MePHE_2021_annual.nc</t>
  </si>
  <si>
    <t>GEMS_pow_3-MePHE_2021_annual.nc</t>
  </si>
  <si>
    <t>GEMS_pow_9-MePHE_2021_annual.nc</t>
  </si>
  <si>
    <t>GEMS_res_1-MeNAP_2021_annual.nc</t>
  </si>
  <si>
    <t>GEMS_res_1-MePHE_2021_annual.nc</t>
  </si>
  <si>
    <t>GEMS_res_2-MeNAP_2021_annual.nc</t>
  </si>
  <si>
    <t>GEMS_res_2-MePHE_2021_annual.nc</t>
  </si>
  <si>
    <t>GEMS_res_3-MePHE_2021_annual.nc</t>
  </si>
  <si>
    <t>GEMS_res_9-MePHE_2021_annual.nc</t>
  </si>
  <si>
    <t>GEMS_tra_1-MeNAP_2021_annual.nc</t>
  </si>
  <si>
    <t>GEMS_tra_1-MePHE_2021_annual.nc</t>
  </si>
  <si>
    <t>GEMS_tra_2-MeNAP_2021_annual.nc</t>
  </si>
  <si>
    <t>GEMS_tra_2-MePHE_2021_annual.nc</t>
  </si>
  <si>
    <t>GEMS_tra_3-MePHE_2021_annual.nc</t>
  </si>
  <si>
    <t>GEMS_tra_9-MePHE_2021_annual.nc</t>
  </si>
  <si>
    <t>PAH8</t>
    <phoneticPr fontId="12" type="noConversion"/>
  </si>
  <si>
    <t>BghiP</t>
    <phoneticPr fontId="12" type="noConversion"/>
  </si>
  <si>
    <t>BghiP</t>
    <phoneticPr fontId="12" type="noConversion"/>
  </si>
  <si>
    <t>54.7-65</t>
    <phoneticPr fontId="12" type="noConversion"/>
  </si>
  <si>
    <t xml:space="preserve">Evaporation Fraction </t>
  </si>
  <si>
    <t>Yin et al., 2015</t>
    <phoneticPr fontId="12" type="noConversion"/>
  </si>
  <si>
    <t>Incardona et al., 2014</t>
    <phoneticPr fontId="12" type="noConversion"/>
  </si>
  <si>
    <t>Yin et al. 2015</t>
    <phoneticPr fontId="12" type="noConversion"/>
  </si>
  <si>
    <t>均值average</t>
    <phoneticPr fontId="12" type="noConversion"/>
  </si>
  <si>
    <t>海洋 ocean</t>
    <phoneticPr fontId="12" type="noConversion"/>
  </si>
  <si>
    <t>Correction factors</t>
    <phoneticPr fontId="12" type="noConversion"/>
  </si>
  <si>
    <t>误差 errorbar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</si>
</sst>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mmm\-yyyy"/>
    <numFmt numFmtId="179" formatCode="0.00_);[Red]\(0.00\)"/>
    <numFmt numFmtId="180" formatCode="0.000_ "/>
    <numFmt numFmtId="181" formatCode="0.0_);[Red]\(0.0\)"/>
  </numFmts>
  <fonts count="2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24"/>
      <color rgb="FF1F1F1F"/>
      <name val="Georgia"/>
      <family val="1"/>
    </font>
    <font>
      <sz val="12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Times New Roman"/>
      <family val="1"/>
    </font>
    <font>
      <b/>
      <sz val="1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80">
    <xf numFmtId="0" fontId="0" fillId="0" borderId="0" xfId="0"/>
    <xf numFmtId="10" fontId="0" fillId="0" borderId="0" xfId="0" applyNumberFormat="1"/>
    <xf numFmtId="0" fontId="8" fillId="0" borderId="0" xfId="5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9" fillId="2" borderId="0" xfId="1" applyAlignment="1"/>
    <xf numFmtId="0" fontId="1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0" fontId="8" fillId="5" borderId="0" xfId="4" applyAlignment="1"/>
    <xf numFmtId="0" fontId="16" fillId="0" borderId="0" xfId="0" applyFont="1"/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9" fillId="2" borderId="0" xfId="1">
      <alignment vertical="center"/>
    </xf>
    <xf numFmtId="0" fontId="17" fillId="11" borderId="0" xfId="5" applyFont="1" applyFill="1">
      <alignment vertical="center"/>
    </xf>
    <xf numFmtId="0" fontId="18" fillId="0" borderId="0" xfId="0" applyFont="1" applyAlignment="1">
      <alignment horizontal="left" vertical="center" wrapText="1" indent="1"/>
    </xf>
    <xf numFmtId="0" fontId="7" fillId="0" borderId="0" xfId="5" applyFont="1">
      <alignment vertical="center"/>
    </xf>
    <xf numFmtId="0" fontId="8" fillId="5" borderId="0" xfId="4" applyAlignment="1">
      <alignment horizontal="left" vertical="center" wrapText="1" indent="1"/>
    </xf>
    <xf numFmtId="0" fontId="7" fillId="7" borderId="0" xfId="6" applyAlignment="1"/>
    <xf numFmtId="0" fontId="7" fillId="7" borderId="0" xfId="6" applyAlignment="1">
      <alignment horizontal="left" vertical="center" wrapText="1" indent="1"/>
    </xf>
    <xf numFmtId="0" fontId="7" fillId="5" borderId="0" xfId="4" applyFont="1" applyAlignment="1"/>
    <xf numFmtId="0" fontId="7" fillId="10" borderId="0" xfId="8" applyAlignment="1"/>
    <xf numFmtId="177" fontId="0" fillId="0" borderId="0" xfId="0" applyNumberForma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/>
    <xf numFmtId="0" fontId="7" fillId="7" borderId="0" xfId="6" applyAlignment="1"/>
    <xf numFmtId="0" fontId="8" fillId="0" borderId="0" xfId="5" applyAlignment="1">
      <alignment horizontal="left" vertical="center"/>
    </xf>
    <xf numFmtId="0" fontId="8" fillId="5" borderId="0" xfId="4" applyAlignment="1">
      <alignment horizontal="left"/>
    </xf>
    <xf numFmtId="0" fontId="7" fillId="7" borderId="0" xfId="6" applyAlignment="1">
      <alignment horizontal="left"/>
    </xf>
    <xf numFmtId="0" fontId="9" fillId="2" borderId="0" xfId="1" applyAlignment="1">
      <alignment horizontal="left"/>
    </xf>
    <xf numFmtId="0" fontId="11" fillId="4" borderId="0" xfId="3" applyAlignment="1">
      <alignment horizontal="left"/>
    </xf>
    <xf numFmtId="0" fontId="7" fillId="8" borderId="0" xfId="7" applyAlignment="1">
      <alignment horizontal="left"/>
    </xf>
    <xf numFmtId="0" fontId="0" fillId="0" borderId="0" xfId="0" applyAlignment="1">
      <alignment horizontal="right"/>
    </xf>
    <xf numFmtId="0" fontId="6" fillId="7" borderId="0" xfId="6" applyFont="1" applyAlignment="1"/>
    <xf numFmtId="0" fontId="20" fillId="0" borderId="0" xfId="0" applyFont="1" applyAlignment="1">
      <alignment horizontal="center" wrapText="1"/>
    </xf>
    <xf numFmtId="178" fontId="16" fillId="0" borderId="0" xfId="0" applyNumberFormat="1" applyFont="1"/>
    <xf numFmtId="0" fontId="20" fillId="0" borderId="0" xfId="5" applyFont="1" applyAlignment="1"/>
    <xf numFmtId="10" fontId="16" fillId="0" borderId="0" xfId="0" applyNumberFormat="1" applyFont="1"/>
    <xf numFmtId="0" fontId="5" fillId="0" borderId="0" xfId="5" applyFont="1">
      <alignment vertical="center"/>
    </xf>
    <xf numFmtId="0" fontId="4" fillId="7" borderId="0" xfId="6" applyFont="1" applyAlignment="1"/>
    <xf numFmtId="179" fontId="16" fillId="0" borderId="0" xfId="0" applyNumberFormat="1" applyFont="1"/>
    <xf numFmtId="179" fontId="9" fillId="2" borderId="0" xfId="1" applyNumberFormat="1" applyAlignment="1"/>
    <xf numFmtId="179" fontId="0" fillId="0" borderId="0" xfId="0" applyNumberFormat="1"/>
    <xf numFmtId="179" fontId="5" fillId="0" borderId="0" xfId="5" applyNumberFormat="1" applyFont="1">
      <alignment vertical="center"/>
    </xf>
    <xf numFmtId="179" fontId="0" fillId="0" borderId="0" xfId="0" applyNumberFormat="1" applyAlignment="1">
      <alignment horizontal="right"/>
    </xf>
    <xf numFmtId="179" fontId="9" fillId="2" borderId="0" xfId="1" applyNumberFormat="1">
      <alignment vertical="center"/>
    </xf>
    <xf numFmtId="180" fontId="16" fillId="0" borderId="0" xfId="0" applyNumberFormat="1" applyFont="1"/>
    <xf numFmtId="0" fontId="0" fillId="0" borderId="0" xfId="0"/>
    <xf numFmtId="179" fontId="16" fillId="0" borderId="0" xfId="0" applyNumberFormat="1" applyFont="1"/>
    <xf numFmtId="179" fontId="9" fillId="2" borderId="0" xfId="1" applyNumberFormat="1" applyAlignment="1"/>
    <xf numFmtId="179" fontId="11" fillId="4" borderId="0" xfId="3" applyNumberFormat="1" applyAlignment="1"/>
    <xf numFmtId="179" fontId="10" fillId="3" borderId="0" xfId="2" applyNumberFormat="1" applyAlignment="1"/>
    <xf numFmtId="179" fontId="16" fillId="0" borderId="0" xfId="0" applyNumberFormat="1" applyFont="1" applyAlignment="1">
      <alignment wrapText="1"/>
    </xf>
    <xf numFmtId="181" fontId="0" fillId="0" borderId="0" xfId="0" applyNumberFormat="1"/>
    <xf numFmtId="181" fontId="0" fillId="0" borderId="0" xfId="0" applyNumberFormat="1" applyAlignment="1">
      <alignment horizontal="left"/>
    </xf>
    <xf numFmtId="181" fontId="9" fillId="2" borderId="0" xfId="1" applyNumberFormat="1" applyAlignment="1">
      <alignment horizontal="left"/>
    </xf>
    <xf numFmtId="176" fontId="17" fillId="11" borderId="0" xfId="5" applyNumberFormat="1" applyFont="1" applyFill="1">
      <alignment vertical="center"/>
    </xf>
    <xf numFmtId="176" fontId="7" fillId="0" borderId="0" xfId="5" applyNumberFormat="1" applyFont="1">
      <alignment vertical="center"/>
    </xf>
    <xf numFmtId="176" fontId="8" fillId="5" borderId="0" xfId="4" applyNumberFormat="1" applyAlignment="1"/>
    <xf numFmtId="176" fontId="7" fillId="7" borderId="0" xfId="6" applyNumberFormat="1" applyAlignment="1"/>
    <xf numFmtId="0" fontId="2" fillId="5" borderId="0" xfId="4" applyFont="1" applyAlignment="1"/>
    <xf numFmtId="181" fontId="17" fillId="11" borderId="0" xfId="5" applyNumberFormat="1" applyFont="1" applyFill="1">
      <alignment vertical="center"/>
    </xf>
    <xf numFmtId="181" fontId="7" fillId="7" borderId="0" xfId="6" applyNumberFormat="1" applyAlignment="1"/>
    <xf numFmtId="181" fontId="8" fillId="5" borderId="0" xfId="4" applyNumberFormat="1" applyAlignment="1"/>
    <xf numFmtId="0" fontId="9" fillId="2" borderId="0" xfId="1" applyAlignment="1">
      <alignment vertical="center"/>
    </xf>
    <xf numFmtId="0" fontId="0" fillId="0" borderId="0" xfId="0" applyNumberFormat="1"/>
    <xf numFmtId="0" fontId="19" fillId="0" borderId="0" xfId="0" applyFont="1"/>
    <xf numFmtId="9" fontId="7" fillId="7" borderId="0" xfId="6" applyNumberFormat="1" applyAlignment="1"/>
    <xf numFmtId="9" fontId="8" fillId="5" borderId="0" xfId="4" applyNumberFormat="1" applyAlignment="1"/>
    <xf numFmtId="9" fontId="0" fillId="0" borderId="0" xfId="0" applyNumberFormat="1"/>
    <xf numFmtId="0" fontId="1" fillId="5" borderId="0" xfId="4" applyFont="1" applyAlignment="1"/>
    <xf numFmtId="0" fontId="0" fillId="0" borderId="0" xfId="0" applyAlignment="1">
      <alignment horizontal="center"/>
    </xf>
    <xf numFmtId="179" fontId="16" fillId="0" borderId="0" xfId="0" applyNumberFormat="1" applyFont="1" applyAlignment="1">
      <alignment horizontal="center"/>
    </xf>
  </cellXfs>
  <cellStyles count="42">
    <cellStyle name="20% - 着色 2" xfId="6" builtinId="34"/>
    <cellStyle name="20% - 着色 2 2" xfId="15" xr:uid="{3BF279D1-5A58-41DD-90B5-829EAA29B4F7}"/>
    <cellStyle name="20% - 着色 2 2 2" xfId="35" xr:uid="{13832267-6153-4AF2-9337-3DD86CE91E98}"/>
    <cellStyle name="20% - 着色 2 3" xfId="25" xr:uid="{92BD04F5-73F6-442C-8CDD-CD5E5D103031}"/>
    <cellStyle name="20% - 着色 5" xfId="4" builtinId="46"/>
    <cellStyle name="20% - 着色 5 2" xfId="9" xr:uid="{1B604ECB-F04D-4877-80F1-A32613422753}"/>
    <cellStyle name="20% - 着色 5 2 2" xfId="19" xr:uid="{B5791320-A071-43C2-8030-92EB40BAF376}"/>
    <cellStyle name="20% - 着色 5 2 2 2" xfId="39" xr:uid="{47C2A688-055C-4556-8031-EFD3F6582B07}"/>
    <cellStyle name="20% - 着色 5 2 3" xfId="29" xr:uid="{25A26712-80D3-4DA6-9567-B153608464D1}"/>
    <cellStyle name="20% - 着色 5 3" xfId="12" xr:uid="{E57F2DCE-F33B-40DF-94F0-308A5865479D}"/>
    <cellStyle name="20% - 着色 5 3 2" xfId="32" xr:uid="{92BCDFC4-C0D4-481E-A867-233F70945D9E}"/>
    <cellStyle name="20% - 着色 5 4" xfId="22" xr:uid="{B3BF9BB5-EC3C-4B63-9940-20654BB78288}"/>
    <cellStyle name="20% - 着色 6" xfId="8" builtinId="50"/>
    <cellStyle name="20% - 着色 6 2" xfId="18" xr:uid="{1F647734-2213-4C47-8E2D-7FB2A469ACE1}"/>
    <cellStyle name="20% - 着色 6 2 2" xfId="38" xr:uid="{2E7CBAE0-FE57-409E-AA49-8385788614B5}"/>
    <cellStyle name="20% - 着色 6 3" xfId="28" xr:uid="{95A12C00-0C30-4633-86B2-CCA51591A714}"/>
    <cellStyle name="40% - 着色 4 2" xfId="17" xr:uid="{0460F81C-FA44-49FD-9A08-7A31CD2135B4}"/>
    <cellStyle name="40% - 着色 4 2 2" xfId="37" xr:uid="{ECE4DCA2-802F-4AF3-8DD3-3E01D0E30BE9}"/>
    <cellStyle name="40% - 着色 4 3" xfId="27" xr:uid="{018FDC90-9C5E-429B-90A5-022127704D26}"/>
    <cellStyle name="40% - 着色 5 2" xfId="10" xr:uid="{3ADE08C8-57FD-4912-8A23-C4A04DA6C145}"/>
    <cellStyle name="40% - 着色 5 2 2" xfId="20" xr:uid="{877CC782-5507-4E89-A714-E6212E2465CB}"/>
    <cellStyle name="40% - 着色 5 2 2 2" xfId="40" xr:uid="{9DC3BE88-C551-4204-9429-B65ECAF58681}"/>
    <cellStyle name="40% - 着色 5 2 3" xfId="30" xr:uid="{939553BC-7D75-4D9D-9E77-D8B90A2C072C}"/>
    <cellStyle name="40% - 着色 5 3" xfId="13" xr:uid="{C411675D-9816-475C-BAD9-D172D9BCD030}"/>
    <cellStyle name="40% - 着色 5 3 2" xfId="33" xr:uid="{959AAB66-954A-43EA-99D1-C50FE481F238}"/>
    <cellStyle name="40% - 着色 5 4" xfId="23" xr:uid="{91FAC155-9808-4FC6-A0F8-1FA41430773D}"/>
    <cellStyle name="60% - 着色 2" xfId="7" builtinId="36"/>
    <cellStyle name="60% - 着色 2 2" xfId="16" xr:uid="{EB188677-C4AC-48B0-8611-A8215DF6D03C}"/>
    <cellStyle name="60% - 着色 2 2 2" xfId="36" xr:uid="{E468B790-5CDF-433A-B057-E35A640B80CC}"/>
    <cellStyle name="60% - 着色 2 3" xfId="26" xr:uid="{B74388D7-CE25-4112-84F9-E5C489C14F87}"/>
    <cellStyle name="差" xfId="2" builtinId="27"/>
    <cellStyle name="常规" xfId="0" builtinId="0"/>
    <cellStyle name="常规 2" xfId="5" xr:uid="{374576BB-60B5-4A5A-8938-948F325ADCBB}"/>
    <cellStyle name="常规 2 2" xfId="11" xr:uid="{542A6EB5-3793-43B9-AECC-8CD401FEA9A1}"/>
    <cellStyle name="常规 2 2 2" xfId="21" xr:uid="{E28A38F6-6EF9-4E43-9746-5C935B4DEC64}"/>
    <cellStyle name="常规 2 2 2 2" xfId="41" xr:uid="{C85A9DD6-79CD-450A-93C5-57F726604D86}"/>
    <cellStyle name="常规 2 2 3" xfId="31" xr:uid="{351BB0AD-A515-4CC2-8178-A24C1104C90D}"/>
    <cellStyle name="常规 2 3" xfId="14" xr:uid="{2FBBFD54-B545-48E7-B219-97479C4EA1CF}"/>
    <cellStyle name="常规 2 3 2" xfId="34" xr:uid="{23B205BA-7121-43F1-9F1A-3B34CA931D73}"/>
    <cellStyle name="常规 2 4" xfId="24" xr:uid="{F16DDA88-21C4-43E9-88C9-51F2663ACE8C}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6"/>
  <sheetViews>
    <sheetView topLeftCell="A10" workbookViewId="0">
      <selection activeCell="L56" sqref="L56"/>
    </sheetView>
  </sheetViews>
  <sheetFormatPr defaultRowHeight="14" x14ac:dyDescent="0.3"/>
  <cols>
    <col min="1" max="1" width="23.9140625" bestFit="1" customWidth="1"/>
    <col min="2" max="2" width="9.58203125" bestFit="1" customWidth="1"/>
    <col min="3" max="3" width="13.6640625" bestFit="1" customWidth="1"/>
    <col min="4" max="4" width="12.33203125" bestFit="1" customWidth="1"/>
    <col min="5" max="5" width="8.1640625" bestFit="1" customWidth="1"/>
    <col min="6" max="6" width="28.08203125" bestFit="1" customWidth="1"/>
    <col min="7" max="8" width="12.33203125" bestFit="1" customWidth="1"/>
    <col min="9" max="9" width="6.5" bestFit="1" customWidth="1"/>
    <col min="10" max="11" width="12.33203125" bestFit="1" customWidth="1"/>
    <col min="12" max="12" width="10.08203125" bestFit="1" customWidth="1"/>
    <col min="13" max="13" width="11.9140625" bestFit="1" customWidth="1"/>
    <col min="15" max="15" width="20.33203125" bestFit="1" customWidth="1"/>
    <col min="16" max="17" width="12.33203125" bestFit="1" customWidth="1"/>
    <col min="18" max="18" width="6.5" bestFit="1" customWidth="1"/>
    <col min="19" max="20" width="12.33203125" bestFit="1" customWidth="1"/>
    <col min="21" max="21" width="6.5" bestFit="1" customWidth="1"/>
    <col min="28" max="28" width="15.08203125" customWidth="1"/>
    <col min="29" max="29" width="30.1640625" customWidth="1"/>
    <col min="30" max="31" width="15.08203125" customWidth="1"/>
    <col min="33" max="33" width="12.5" bestFit="1" customWidth="1"/>
    <col min="36" max="36" width="12.5" bestFit="1" customWidth="1"/>
  </cols>
  <sheetData>
    <row r="1" spans="1:37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K1" s="1"/>
      <c r="L1" s="1"/>
      <c r="AB1" s="12" t="s">
        <v>635</v>
      </c>
      <c r="AC1" s="12" t="s">
        <v>636</v>
      </c>
      <c r="AD1" s="12" t="s">
        <v>637</v>
      </c>
      <c r="AE1" s="12" t="s">
        <v>638</v>
      </c>
    </row>
    <row r="2" spans="1:37" x14ac:dyDescent="0.3">
      <c r="K2" s="1"/>
      <c r="L2" s="1"/>
      <c r="AB2" s="12" t="s">
        <v>639</v>
      </c>
      <c r="AC2" s="12" t="s">
        <v>640</v>
      </c>
      <c r="AD2" s="71" t="s">
        <v>620</v>
      </c>
      <c r="AE2" s="12">
        <v>17462898688</v>
      </c>
      <c r="AI2" t="s">
        <v>583</v>
      </c>
      <c r="AJ2">
        <f>AE15</f>
        <v>278633840640</v>
      </c>
      <c r="AK2">
        <f>AJ2/1000000000</f>
        <v>278.63384064000002</v>
      </c>
    </row>
    <row r="3" spans="1:37" x14ac:dyDescent="0.3">
      <c r="A3" t="s">
        <v>1</v>
      </c>
      <c r="K3" s="1"/>
      <c r="L3" s="1"/>
      <c r="AB3" s="12" t="s">
        <v>639</v>
      </c>
      <c r="AC3" s="12" t="s">
        <v>641</v>
      </c>
      <c r="AD3" s="71" t="s">
        <v>619</v>
      </c>
      <c r="AE3" s="12">
        <v>57603960832</v>
      </c>
      <c r="AI3" t="s">
        <v>584</v>
      </c>
      <c r="AJ3">
        <f>AE16</f>
        <v>64708898816</v>
      </c>
      <c r="AK3" s="54">
        <f t="shared" ref="AK3:AK17" si="0">AJ3/1000000000</f>
        <v>64.708898816000001</v>
      </c>
    </row>
    <row r="4" spans="1:37" x14ac:dyDescent="0.3">
      <c r="A4" t="s">
        <v>2</v>
      </c>
      <c r="K4" s="1"/>
      <c r="L4" s="1"/>
      <c r="AB4" s="12" t="s">
        <v>639</v>
      </c>
      <c r="AC4" s="12" t="s">
        <v>642</v>
      </c>
      <c r="AD4" s="12" t="s">
        <v>621</v>
      </c>
      <c r="AE4" s="12">
        <v>14434830336</v>
      </c>
      <c r="AI4" t="s">
        <v>659</v>
      </c>
      <c r="AJ4">
        <f>AE13</f>
        <v>24231931904</v>
      </c>
      <c r="AK4" s="54">
        <f t="shared" si="0"/>
        <v>24.231931904</v>
      </c>
    </row>
    <row r="5" spans="1:37" x14ac:dyDescent="0.3">
      <c r="A5" s="2" t="s">
        <v>3</v>
      </c>
      <c r="G5" t="s">
        <v>4</v>
      </c>
      <c r="L5" s="1"/>
      <c r="M5" s="1"/>
      <c r="AB5" s="12" t="s">
        <v>639</v>
      </c>
      <c r="AC5" s="12" t="s">
        <v>643</v>
      </c>
      <c r="AD5" s="12" t="s">
        <v>644</v>
      </c>
      <c r="AE5" s="12">
        <v>9103413248</v>
      </c>
      <c r="AI5" t="s">
        <v>586</v>
      </c>
      <c r="AJ5">
        <f>AE10</f>
        <v>9398809600</v>
      </c>
      <c r="AK5" s="54">
        <f t="shared" si="0"/>
        <v>9.3988095999999999</v>
      </c>
    </row>
    <row r="6" spans="1:37" x14ac:dyDescent="0.3">
      <c r="G6" t="s">
        <v>5</v>
      </c>
      <c r="L6" s="1" t="s">
        <v>6</v>
      </c>
      <c r="M6" s="1"/>
      <c r="AB6" s="12" t="s">
        <v>639</v>
      </c>
      <c r="AC6" s="12" t="s">
        <v>645</v>
      </c>
      <c r="AD6" s="71" t="s">
        <v>646</v>
      </c>
      <c r="AE6" s="12">
        <v>5890089984</v>
      </c>
      <c r="AI6" t="s">
        <v>619</v>
      </c>
      <c r="AJ6">
        <f>AE3</f>
        <v>57603960832</v>
      </c>
      <c r="AK6" s="54">
        <f t="shared" si="0"/>
        <v>57.603960831999999</v>
      </c>
    </row>
    <row r="7" spans="1:37" x14ac:dyDescent="0.3">
      <c r="A7" t="s">
        <v>7</v>
      </c>
      <c r="B7" t="s">
        <v>8</v>
      </c>
      <c r="C7" t="s">
        <v>9</v>
      </c>
      <c r="D7" t="s">
        <v>10</v>
      </c>
      <c r="E7" t="s">
        <v>11</v>
      </c>
      <c r="G7" t="s">
        <v>12</v>
      </c>
      <c r="H7" t="s">
        <v>6</v>
      </c>
      <c r="J7" t="s">
        <v>5</v>
      </c>
      <c r="K7" t="s">
        <v>12</v>
      </c>
      <c r="L7" s="1" t="s">
        <v>5</v>
      </c>
      <c r="M7" s="1" t="s">
        <v>12</v>
      </c>
      <c r="AB7" s="12" t="s">
        <v>639</v>
      </c>
      <c r="AC7" s="12" t="s">
        <v>647</v>
      </c>
      <c r="AD7" s="12" t="s">
        <v>648</v>
      </c>
      <c r="AE7" s="12">
        <v>6472555008</v>
      </c>
      <c r="AF7" s="12" t="s">
        <v>763</v>
      </c>
      <c r="AG7">
        <f>SUM(AE2:AE3,AE6,AE8,AE13:AE16)/1000000000</f>
        <v>455.71528985600003</v>
      </c>
      <c r="AI7" t="s">
        <v>620</v>
      </c>
      <c r="AJ7">
        <f>AE2</f>
        <v>17462898688</v>
      </c>
      <c r="AK7" s="54">
        <f t="shared" si="0"/>
        <v>17.462898687999999</v>
      </c>
    </row>
    <row r="8" spans="1:37" x14ac:dyDescent="0.3">
      <c r="A8">
        <v>2010</v>
      </c>
      <c r="B8">
        <v>624.69000000000005</v>
      </c>
      <c r="C8">
        <v>103.47</v>
      </c>
      <c r="D8">
        <f>C8/B8</f>
        <v>0.16563415454065214</v>
      </c>
      <c r="E8">
        <v>759.34</v>
      </c>
      <c r="G8">
        <v>90.873000000000005</v>
      </c>
      <c r="H8">
        <f>G8/B8</f>
        <v>0.14546895260048984</v>
      </c>
      <c r="J8">
        <v>74.927000000000007</v>
      </c>
      <c r="K8">
        <v>15.945</v>
      </c>
      <c r="L8" s="1">
        <f>J8/B8</f>
        <v>0.11994269157502122</v>
      </c>
      <c r="M8" s="1">
        <f t="shared" ref="M8:M17" si="1">K8/B8</f>
        <v>2.5524660231474809E-2</v>
      </c>
      <c r="AB8" s="12" t="s">
        <v>639</v>
      </c>
      <c r="AC8" s="12" t="s">
        <v>649</v>
      </c>
      <c r="AD8" s="71" t="s">
        <v>650</v>
      </c>
      <c r="AE8" s="12">
        <v>3844130048</v>
      </c>
      <c r="AI8" t="s">
        <v>621</v>
      </c>
      <c r="AJ8">
        <f>AE4</f>
        <v>14434830336</v>
      </c>
      <c r="AK8" s="54">
        <f t="shared" si="0"/>
        <v>14.434830335999999</v>
      </c>
    </row>
    <row r="9" spans="1:37" x14ac:dyDescent="0.3">
      <c r="A9">
        <v>2011</v>
      </c>
      <c r="B9">
        <v>621.51</v>
      </c>
      <c r="C9">
        <v>103.05</v>
      </c>
      <c r="D9">
        <f t="shared" ref="D9:D17" si="2">C9/B9</f>
        <v>0.16580585992180336</v>
      </c>
      <c r="E9">
        <v>756.11</v>
      </c>
      <c r="G9">
        <v>90.436999999999998</v>
      </c>
      <c r="H9">
        <f t="shared" ref="H9:H17" si="3">G9/B9</f>
        <v>0.14551173754243696</v>
      </c>
      <c r="J9">
        <v>74.403000000000006</v>
      </c>
      <c r="K9">
        <v>16.033999999999999</v>
      </c>
      <c r="L9" s="1">
        <f t="shared" ref="L9:L17" si="4">J9/B9</f>
        <v>0.11971327894965489</v>
      </c>
      <c r="M9" s="1">
        <f t="shared" si="1"/>
        <v>2.5798458592782094E-2</v>
      </c>
      <c r="AB9" s="12" t="s">
        <v>639</v>
      </c>
      <c r="AC9" s="12" t="s">
        <v>651</v>
      </c>
      <c r="AD9" s="12" t="s">
        <v>652</v>
      </c>
      <c r="AE9" s="12">
        <v>3828094720</v>
      </c>
      <c r="AI9" t="s">
        <v>657</v>
      </c>
      <c r="AJ9">
        <f>AE12</f>
        <v>31126409216</v>
      </c>
      <c r="AK9" s="54">
        <f t="shared" si="0"/>
        <v>31.126409215999999</v>
      </c>
    </row>
    <row r="10" spans="1:37" x14ac:dyDescent="0.3">
      <c r="A10">
        <v>2012</v>
      </c>
      <c r="B10">
        <v>616.25</v>
      </c>
      <c r="C10">
        <v>101.9</v>
      </c>
      <c r="D10">
        <f t="shared" si="2"/>
        <v>0.16535496957403653</v>
      </c>
      <c r="E10">
        <v>749.09</v>
      </c>
      <c r="G10">
        <v>89.540999999999997</v>
      </c>
      <c r="H10">
        <f t="shared" si="3"/>
        <v>0.14529979716024341</v>
      </c>
      <c r="J10">
        <v>73.856999999999999</v>
      </c>
      <c r="K10">
        <v>15.683</v>
      </c>
      <c r="L10" s="1">
        <f t="shared" si="4"/>
        <v>0.11984908722109533</v>
      </c>
      <c r="M10" s="1">
        <f>K10/B10</f>
        <v>2.5449087221095335E-2</v>
      </c>
      <c r="AB10" s="12" t="s">
        <v>639</v>
      </c>
      <c r="AC10" s="12" t="s">
        <v>653</v>
      </c>
      <c r="AD10" s="12" t="s">
        <v>586</v>
      </c>
      <c r="AE10" s="12">
        <v>9398809600</v>
      </c>
      <c r="AG10">
        <f>SUM(AE4:AE5,AE7,AE9:AE12,AE17)/1000000000</f>
        <v>101.36993612800001</v>
      </c>
      <c r="AI10" t="s">
        <v>622</v>
      </c>
      <c r="AJ10">
        <f>AE17</f>
        <v>25718730752</v>
      </c>
      <c r="AK10" s="54">
        <f t="shared" si="0"/>
        <v>25.718730751999999</v>
      </c>
    </row>
    <row r="11" spans="1:37" x14ac:dyDescent="0.3">
      <c r="A11">
        <v>2013</v>
      </c>
      <c r="B11">
        <v>611.07000000000005</v>
      </c>
      <c r="C11">
        <v>100.91</v>
      </c>
      <c r="D11">
        <f t="shared" si="2"/>
        <v>0.16513656373246927</v>
      </c>
      <c r="E11">
        <v>742.88</v>
      </c>
      <c r="G11">
        <v>88.575999999999993</v>
      </c>
      <c r="H11">
        <f t="shared" si="3"/>
        <v>0.14495229679087501</v>
      </c>
      <c r="J11">
        <v>73.16</v>
      </c>
      <c r="K11">
        <v>15.416</v>
      </c>
      <c r="L11" s="1">
        <f t="shared" si="4"/>
        <v>0.11972441782447181</v>
      </c>
      <c r="M11" s="1">
        <f t="shared" si="1"/>
        <v>2.5227878966403192E-2</v>
      </c>
      <c r="AB11" s="12" t="s">
        <v>639</v>
      </c>
      <c r="AC11" s="12" t="s">
        <v>654</v>
      </c>
      <c r="AD11" s="12" t="s">
        <v>655</v>
      </c>
      <c r="AE11" s="12">
        <v>1287093248</v>
      </c>
      <c r="AI11" t="s">
        <v>644</v>
      </c>
      <c r="AJ11">
        <f>AE5</f>
        <v>9103413248</v>
      </c>
      <c r="AK11" s="54">
        <f t="shared" si="0"/>
        <v>9.1034132480000007</v>
      </c>
    </row>
    <row r="12" spans="1:37" x14ac:dyDescent="0.3">
      <c r="A12">
        <v>2014</v>
      </c>
      <c r="B12">
        <v>626.82000000000005</v>
      </c>
      <c r="C12">
        <v>102.83</v>
      </c>
      <c r="D12">
        <f t="shared" si="2"/>
        <v>0.16405028556842474</v>
      </c>
      <c r="E12">
        <v>761.27</v>
      </c>
      <c r="G12">
        <v>90.406999999999996</v>
      </c>
      <c r="H12">
        <f t="shared" si="3"/>
        <v>0.1442311987492422</v>
      </c>
      <c r="J12">
        <v>74.989000000000004</v>
      </c>
      <c r="K12">
        <v>15.417999999999999</v>
      </c>
      <c r="L12" s="1">
        <f t="shared" si="4"/>
        <v>0.11963402571711176</v>
      </c>
      <c r="M12" s="1">
        <f t="shared" si="1"/>
        <v>2.4597173032130434E-2</v>
      </c>
      <c r="AB12" s="12" t="s">
        <v>639</v>
      </c>
      <c r="AC12" s="12" t="s">
        <v>656</v>
      </c>
      <c r="AD12" s="12" t="s">
        <v>657</v>
      </c>
      <c r="AE12" s="12">
        <v>31126409216</v>
      </c>
      <c r="AI12" t="s">
        <v>648</v>
      </c>
      <c r="AJ12">
        <f>AE7</f>
        <v>6472555008</v>
      </c>
      <c r="AK12" s="54">
        <f t="shared" si="0"/>
        <v>6.4725550079999996</v>
      </c>
    </row>
    <row r="13" spans="1:37" x14ac:dyDescent="0.3">
      <c r="A13">
        <v>2015</v>
      </c>
      <c r="B13">
        <v>608.51</v>
      </c>
      <c r="C13">
        <v>100.63</v>
      </c>
      <c r="D13">
        <f t="shared" si="2"/>
        <v>0.16537115248722289</v>
      </c>
      <c r="E13">
        <v>739.84</v>
      </c>
      <c r="G13">
        <v>88.695999999999998</v>
      </c>
      <c r="H13">
        <f t="shared" si="3"/>
        <v>0.14575931373354586</v>
      </c>
      <c r="J13">
        <v>73.736000000000004</v>
      </c>
      <c r="K13">
        <v>14.959</v>
      </c>
      <c r="L13" s="1">
        <f t="shared" si="4"/>
        <v>0.12117467256084535</v>
      </c>
      <c r="M13" s="1">
        <f t="shared" si="1"/>
        <v>2.458299781433337E-2</v>
      </c>
      <c r="AB13" s="12" t="s">
        <v>639</v>
      </c>
      <c r="AC13" s="12" t="s">
        <v>658</v>
      </c>
      <c r="AD13" s="71" t="s">
        <v>659</v>
      </c>
      <c r="AE13" s="12">
        <v>24231931904</v>
      </c>
      <c r="AI13" t="s">
        <v>652</v>
      </c>
      <c r="AJ13">
        <f>AE9</f>
        <v>3828094720</v>
      </c>
      <c r="AK13" s="54">
        <f t="shared" si="0"/>
        <v>3.8280947200000002</v>
      </c>
    </row>
    <row r="14" spans="1:37" x14ac:dyDescent="0.3">
      <c r="A14">
        <v>2016</v>
      </c>
      <c r="B14">
        <v>583.69000000000005</v>
      </c>
      <c r="C14">
        <v>96.224000000000004</v>
      </c>
      <c r="D14">
        <f t="shared" si="2"/>
        <v>0.16485463173945072</v>
      </c>
      <c r="E14">
        <v>709.27</v>
      </c>
      <c r="G14">
        <v>84.597999999999999</v>
      </c>
      <c r="H14">
        <f t="shared" si="3"/>
        <v>0.14493652452500469</v>
      </c>
      <c r="J14">
        <v>70.097999999999999</v>
      </c>
      <c r="K14">
        <v>14.5</v>
      </c>
      <c r="L14" s="1">
        <f t="shared" si="4"/>
        <v>0.12009457074817111</v>
      </c>
      <c r="M14" s="1">
        <f t="shared" si="1"/>
        <v>2.484195377683359E-2</v>
      </c>
      <c r="AB14" s="12" t="s">
        <v>639</v>
      </c>
      <c r="AC14" s="12" t="s">
        <v>660</v>
      </c>
      <c r="AD14" s="71" t="s">
        <v>661</v>
      </c>
      <c r="AE14" s="12">
        <v>3339538944</v>
      </c>
      <c r="AI14" t="s">
        <v>646</v>
      </c>
      <c r="AJ14">
        <f>AE6</f>
        <v>5890089984</v>
      </c>
      <c r="AK14" s="54">
        <f t="shared" si="0"/>
        <v>5.8900899840000003</v>
      </c>
    </row>
    <row r="15" spans="1:37" x14ac:dyDescent="0.3">
      <c r="A15">
        <v>2017</v>
      </c>
      <c r="B15">
        <v>583.87</v>
      </c>
      <c r="C15">
        <v>96.427000000000007</v>
      </c>
      <c r="D15">
        <f t="shared" si="2"/>
        <v>0.16515148920136333</v>
      </c>
      <c r="E15">
        <v>709.68</v>
      </c>
      <c r="G15">
        <v>84.847999999999999</v>
      </c>
      <c r="H15">
        <f t="shared" si="3"/>
        <v>0.14532001986743623</v>
      </c>
      <c r="J15">
        <v>70.266000000000005</v>
      </c>
      <c r="K15">
        <v>14.581</v>
      </c>
      <c r="L15" s="1">
        <f t="shared" si="4"/>
        <v>0.12034528234024698</v>
      </c>
      <c r="M15" s="1">
        <f t="shared" si="1"/>
        <v>2.4973024817168205E-2</v>
      </c>
      <c r="AB15" s="12" t="s">
        <v>639</v>
      </c>
      <c r="AC15" s="12" t="s">
        <v>662</v>
      </c>
      <c r="AD15" s="71" t="s">
        <v>583</v>
      </c>
      <c r="AE15" s="12">
        <v>278633840640</v>
      </c>
      <c r="AI15" t="s">
        <v>655</v>
      </c>
      <c r="AJ15">
        <f>AE11</f>
        <v>1287093248</v>
      </c>
      <c r="AK15" s="54">
        <f t="shared" si="0"/>
        <v>1.2870932479999999</v>
      </c>
    </row>
    <row r="16" spans="1:37" x14ac:dyDescent="0.3">
      <c r="A16">
        <v>2018</v>
      </c>
      <c r="B16">
        <v>567.13</v>
      </c>
      <c r="C16">
        <v>94.244</v>
      </c>
      <c r="D16">
        <f t="shared" si="2"/>
        <v>0.16617706698640525</v>
      </c>
      <c r="E16">
        <v>689.93</v>
      </c>
      <c r="G16">
        <v>82.997</v>
      </c>
      <c r="H16">
        <f t="shared" si="3"/>
        <v>0.14634563503958528</v>
      </c>
      <c r="J16">
        <v>68.882999999999996</v>
      </c>
      <c r="K16">
        <v>14.115</v>
      </c>
      <c r="L16" s="1">
        <f t="shared" si="4"/>
        <v>0.12145892476151851</v>
      </c>
      <c r="M16" s="1">
        <f t="shared" si="1"/>
        <v>2.4888473542221359E-2</v>
      </c>
      <c r="AB16" s="12" t="s">
        <v>639</v>
      </c>
      <c r="AC16" s="12" t="s">
        <v>663</v>
      </c>
      <c r="AD16" s="71" t="s">
        <v>584</v>
      </c>
      <c r="AE16" s="12">
        <v>64708898816</v>
      </c>
      <c r="AI16" t="s">
        <v>661</v>
      </c>
      <c r="AJ16">
        <f>AE14</f>
        <v>3339538944</v>
      </c>
      <c r="AK16" s="54">
        <f t="shared" si="0"/>
        <v>3.3395389440000001</v>
      </c>
    </row>
    <row r="17" spans="1:37" x14ac:dyDescent="0.3">
      <c r="A17">
        <v>2019</v>
      </c>
      <c r="B17">
        <v>582.66999999999996</v>
      </c>
      <c r="C17">
        <v>97.081999999999994</v>
      </c>
      <c r="D17">
        <f t="shared" si="2"/>
        <v>0.16661575162613487</v>
      </c>
      <c r="E17">
        <v>708.86</v>
      </c>
      <c r="G17">
        <v>85.835999999999999</v>
      </c>
      <c r="H17">
        <f t="shared" si="3"/>
        <v>0.14731494671083117</v>
      </c>
      <c r="J17">
        <v>71.784000000000006</v>
      </c>
      <c r="K17">
        <v>14.052</v>
      </c>
      <c r="L17" s="1">
        <f t="shared" si="4"/>
        <v>0.12319837987196872</v>
      </c>
      <c r="M17" s="1">
        <f t="shared" si="1"/>
        <v>2.4116566838862478E-2</v>
      </c>
      <c r="AB17" s="12" t="s">
        <v>639</v>
      </c>
      <c r="AC17" s="12" t="s">
        <v>664</v>
      </c>
      <c r="AD17" s="12" t="s">
        <v>622</v>
      </c>
      <c r="AE17" s="12">
        <v>25718730752</v>
      </c>
      <c r="AI17" t="s">
        <v>764</v>
      </c>
      <c r="AJ17">
        <f>AE8</f>
        <v>3844130048</v>
      </c>
      <c r="AK17" s="54">
        <f t="shared" si="0"/>
        <v>3.8441300479999998</v>
      </c>
    </row>
    <row r="18" spans="1:37" x14ac:dyDescent="0.3">
      <c r="L18" s="1"/>
      <c r="M18" s="1"/>
      <c r="AB18" s="12" t="s">
        <v>665</v>
      </c>
      <c r="AC18" s="12" t="s">
        <v>666</v>
      </c>
      <c r="AD18" s="12" t="s">
        <v>667</v>
      </c>
      <c r="AE18" s="12">
        <v>25147201536</v>
      </c>
    </row>
    <row r="19" spans="1:37" x14ac:dyDescent="0.3">
      <c r="B19" s="31"/>
      <c r="C19" s="31"/>
      <c r="D19" s="31"/>
      <c r="E19" s="31"/>
      <c r="F19" s="31"/>
      <c r="G19" s="31"/>
      <c r="H19">
        <f>AVERAGE(H8:H18)</f>
        <v>0.14551404227196907</v>
      </c>
      <c r="J19">
        <f>AVERAGE(J8:J18)</f>
        <v>72.610299999999995</v>
      </c>
      <c r="K19">
        <f t="shared" ref="K19:L19" si="5">AVERAGE(K8:K18)</f>
        <v>15.0703</v>
      </c>
      <c r="L19" s="1">
        <f t="shared" si="5"/>
        <v>0.12051353315701056</v>
      </c>
      <c r="M19" s="1">
        <f>AVERAGE(M8:M18)</f>
        <v>2.5000027483330488E-2</v>
      </c>
      <c r="AB19" s="12" t="s">
        <v>665</v>
      </c>
      <c r="AC19" s="12" t="s">
        <v>668</v>
      </c>
      <c r="AD19" s="12" t="s">
        <v>669</v>
      </c>
      <c r="AE19" s="12">
        <v>5761740800</v>
      </c>
    </row>
    <row r="20" spans="1:37" x14ac:dyDescent="0.3">
      <c r="A20">
        <v>2021</v>
      </c>
      <c r="B20" s="54">
        <v>557.08500000000004</v>
      </c>
      <c r="E20">
        <v>678.03</v>
      </c>
      <c r="J20">
        <f>P42</f>
        <v>69.483175836000001</v>
      </c>
      <c r="K20" s="23">
        <f>S42</f>
        <v>13.711247618</v>
      </c>
      <c r="L20" s="1"/>
      <c r="AB20" s="12" t="s">
        <v>665</v>
      </c>
      <c r="AC20" s="12" t="s">
        <v>670</v>
      </c>
      <c r="AD20" s="12" t="s">
        <v>671</v>
      </c>
      <c r="AE20" s="12">
        <v>915580800</v>
      </c>
    </row>
    <row r="21" spans="1:37" x14ac:dyDescent="0.3">
      <c r="K21" s="1"/>
      <c r="L21" s="1"/>
      <c r="AB21" s="12" t="s">
        <v>665</v>
      </c>
      <c r="AC21" s="12" t="s">
        <v>672</v>
      </c>
      <c r="AD21" s="12" t="s">
        <v>673</v>
      </c>
      <c r="AE21" s="12">
        <v>1714469504</v>
      </c>
    </row>
    <row r="22" spans="1:37" x14ac:dyDescent="0.3">
      <c r="AB22" s="12" t="s">
        <v>665</v>
      </c>
      <c r="AC22" s="12" t="s">
        <v>674</v>
      </c>
      <c r="AD22" s="12" t="s">
        <v>675</v>
      </c>
      <c r="AE22" s="12">
        <v>5164721664</v>
      </c>
    </row>
    <row r="23" spans="1:37" x14ac:dyDescent="0.3">
      <c r="AB23" s="12" t="s">
        <v>665</v>
      </c>
      <c r="AC23" s="12" t="s">
        <v>676</v>
      </c>
      <c r="AD23" s="12" t="s">
        <v>677</v>
      </c>
      <c r="AE23" s="12">
        <v>44335964160</v>
      </c>
    </row>
    <row r="24" spans="1:37" x14ac:dyDescent="0.3">
      <c r="AB24" s="12" t="s">
        <v>665</v>
      </c>
      <c r="AC24" s="12" t="s">
        <v>678</v>
      </c>
      <c r="AD24" s="12" t="s">
        <v>679</v>
      </c>
      <c r="AE24" s="12">
        <v>3840407296</v>
      </c>
    </row>
    <row r="25" spans="1:37" x14ac:dyDescent="0.3">
      <c r="AB25" s="12" t="s">
        <v>665</v>
      </c>
      <c r="AC25" s="12" t="s">
        <v>680</v>
      </c>
      <c r="AD25" s="12" t="s">
        <v>681</v>
      </c>
      <c r="AE25" s="12">
        <v>2204727552</v>
      </c>
    </row>
    <row r="26" spans="1:37" x14ac:dyDescent="0.3">
      <c r="AB26" s="12" t="s">
        <v>665</v>
      </c>
      <c r="AC26" s="12" t="s">
        <v>682</v>
      </c>
      <c r="AD26" s="12" t="s">
        <v>683</v>
      </c>
      <c r="AE26" s="12">
        <v>3715225856</v>
      </c>
    </row>
    <row r="27" spans="1:37" x14ac:dyDescent="0.3">
      <c r="AB27" s="12" t="s">
        <v>665</v>
      </c>
      <c r="AC27" s="12" t="s">
        <v>684</v>
      </c>
      <c r="AD27" s="12" t="s">
        <v>685</v>
      </c>
      <c r="AE27" s="12">
        <v>1904369920</v>
      </c>
    </row>
    <row r="28" spans="1:37" x14ac:dyDescent="0.3">
      <c r="AB28" s="12" t="s">
        <v>665</v>
      </c>
      <c r="AC28" s="12" t="s">
        <v>686</v>
      </c>
      <c r="AD28" s="12" t="s">
        <v>687</v>
      </c>
      <c r="AE28" s="12">
        <v>784693248</v>
      </c>
    </row>
    <row r="29" spans="1:37" x14ac:dyDescent="0.3">
      <c r="G29">
        <v>2019</v>
      </c>
      <c r="O29" s="54"/>
      <c r="P29" s="54">
        <v>2021</v>
      </c>
      <c r="Q29" s="54"/>
      <c r="R29" s="54"/>
      <c r="S29" s="54"/>
      <c r="T29" s="54"/>
      <c r="U29" s="54"/>
      <c r="AB29" s="12" t="s">
        <v>665</v>
      </c>
      <c r="AC29" s="12" t="s">
        <v>640</v>
      </c>
      <c r="AD29" s="12" t="s">
        <v>620</v>
      </c>
      <c r="AE29" s="12">
        <v>17462898688</v>
      </c>
    </row>
    <row r="30" spans="1:37" x14ac:dyDescent="0.3">
      <c r="G30" t="s">
        <v>368</v>
      </c>
      <c r="J30" t="s">
        <v>464</v>
      </c>
      <c r="O30" s="54"/>
      <c r="P30" s="54" t="s">
        <v>5</v>
      </c>
      <c r="Q30" s="54"/>
      <c r="R30" s="54"/>
      <c r="S30" s="54" t="s">
        <v>12</v>
      </c>
      <c r="T30" s="54"/>
      <c r="U30" s="54"/>
      <c r="AB30" s="12" t="s">
        <v>665</v>
      </c>
      <c r="AC30" s="12" t="s">
        <v>641</v>
      </c>
      <c r="AD30" s="12" t="s">
        <v>619</v>
      </c>
      <c r="AE30" s="12">
        <v>57603960832</v>
      </c>
    </row>
    <row r="31" spans="1:37" x14ac:dyDescent="0.3">
      <c r="G31" t="s">
        <v>369</v>
      </c>
      <c r="J31" t="s">
        <v>465</v>
      </c>
      <c r="O31" s="54"/>
      <c r="P31" s="54" t="s">
        <v>369</v>
      </c>
      <c r="Q31" s="54"/>
      <c r="R31" s="54"/>
      <c r="S31" s="54" t="s">
        <v>369</v>
      </c>
      <c r="T31" s="54"/>
      <c r="U31" s="54"/>
      <c r="AB31" s="12" t="s">
        <v>665</v>
      </c>
      <c r="AC31" s="12" t="s">
        <v>642</v>
      </c>
      <c r="AD31" s="12" t="s">
        <v>621</v>
      </c>
      <c r="AE31" s="12">
        <v>14434830336</v>
      </c>
    </row>
    <row r="32" spans="1:37" x14ac:dyDescent="0.3">
      <c r="O32" s="54"/>
      <c r="P32" s="54"/>
      <c r="Q32" s="54"/>
      <c r="R32" s="54"/>
      <c r="S32" s="54"/>
      <c r="T32" s="54"/>
      <c r="U32" s="54"/>
      <c r="AB32" s="12" t="s">
        <v>665</v>
      </c>
      <c r="AC32" s="12" t="s">
        <v>643</v>
      </c>
      <c r="AD32" s="12" t="s">
        <v>644</v>
      </c>
      <c r="AE32" s="12">
        <v>9103413248</v>
      </c>
    </row>
    <row r="33" spans="6:31" x14ac:dyDescent="0.3">
      <c r="F33" t="s">
        <v>370</v>
      </c>
      <c r="G33">
        <f>H33/1000000000</f>
        <v>2.520870656</v>
      </c>
      <c r="H33" s="31">
        <v>2520870656</v>
      </c>
      <c r="I33" s="1">
        <f>G33/$G$42*100%</f>
        <v>3.511741523052659E-2</v>
      </c>
      <c r="J33">
        <f>K33/1000000000</f>
        <v>1.390861312</v>
      </c>
      <c r="K33" s="31">
        <v>1390861312</v>
      </c>
      <c r="L33" s="1">
        <f>J33/$J$42*100%</f>
        <v>9.8977072176775899E-2</v>
      </c>
      <c r="O33" s="54" t="s">
        <v>370</v>
      </c>
      <c r="P33" s="54">
        <f>Q33/1000000000</f>
        <v>2.0882922239999999</v>
      </c>
      <c r="Q33" s="54">
        <v>2088292224</v>
      </c>
      <c r="R33" s="1">
        <f>P33/$P$42*100%</f>
        <v>3.0054645586853453E-2</v>
      </c>
      <c r="S33" s="54">
        <f>T33/1000000000</f>
        <v>1.126063104</v>
      </c>
      <c r="T33" s="54">
        <v>1126063104</v>
      </c>
      <c r="U33" s="1">
        <f>S33/$S$42*100%</f>
        <v>8.2126961409530283E-2</v>
      </c>
      <c r="AB33" s="12" t="s">
        <v>665</v>
      </c>
      <c r="AC33" s="12" t="s">
        <v>688</v>
      </c>
      <c r="AD33" s="12" t="s">
        <v>689</v>
      </c>
      <c r="AE33" s="12">
        <v>1314932224</v>
      </c>
    </row>
    <row r="34" spans="6:31" x14ac:dyDescent="0.3">
      <c r="F34" t="s">
        <v>371</v>
      </c>
      <c r="G34" s="31">
        <f t="shared" ref="G34:G40" si="6">H34/1000000000</f>
        <v>47.101538304000002</v>
      </c>
      <c r="H34" s="31">
        <v>47101538304</v>
      </c>
      <c r="I34" s="1">
        <f>G34/$G$42*100%</f>
        <v>0.65615594940628363</v>
      </c>
      <c r="J34" s="31">
        <f t="shared" ref="J34:J40" si="7">K34/1000000000</f>
        <v>10.027561984</v>
      </c>
      <c r="K34" s="31">
        <v>10027561984</v>
      </c>
      <c r="L34" s="1">
        <f t="shared" ref="L34:L40" si="8">J34/$J$42*100%</f>
        <v>0.71358568800816724</v>
      </c>
      <c r="O34" s="54" t="s">
        <v>371</v>
      </c>
      <c r="P34" s="54">
        <f t="shared" ref="P34:P40" si="9">Q34/1000000000</f>
        <v>46.935621632</v>
      </c>
      <c r="Q34" s="54">
        <v>46935621632</v>
      </c>
      <c r="R34" s="1">
        <f>P34/$P$42*100%</f>
        <v>0.67549620562510526</v>
      </c>
      <c r="S34" s="54">
        <f t="shared" ref="S34:S40" si="10">T34/1000000000</f>
        <v>10.157608959999999</v>
      </c>
      <c r="T34" s="54">
        <v>10157608960</v>
      </c>
      <c r="U34" s="1">
        <f t="shared" ref="U34:U40" si="11">S34/$S$42*100%</f>
        <v>0.74082309961824211</v>
      </c>
      <c r="AB34" s="12" t="s">
        <v>665</v>
      </c>
      <c r="AC34" s="12" t="s">
        <v>645</v>
      </c>
      <c r="AD34" s="12" t="s">
        <v>646</v>
      </c>
      <c r="AE34" s="12">
        <v>5890089984</v>
      </c>
    </row>
    <row r="35" spans="6:31" x14ac:dyDescent="0.3">
      <c r="F35" t="s">
        <v>372</v>
      </c>
      <c r="G35" s="31">
        <f t="shared" si="6"/>
        <v>5.4087851999999999E-2</v>
      </c>
      <c r="H35" s="31">
        <v>54087852</v>
      </c>
      <c r="I35" s="1">
        <f t="shared" ref="I35:I40" si="12">G35/$G$42*100%</f>
        <v>7.5347997450420079E-4</v>
      </c>
      <c r="J35" s="31">
        <f t="shared" si="7"/>
        <v>2.0067726000000001E-2</v>
      </c>
      <c r="K35" s="31">
        <v>20067726</v>
      </c>
      <c r="L35" s="1">
        <f t="shared" si="8"/>
        <v>1.4280681672492752E-3</v>
      </c>
      <c r="O35" s="54" t="s">
        <v>372</v>
      </c>
      <c r="P35" s="54">
        <f t="shared" si="9"/>
        <v>6.0251392000000001E-2</v>
      </c>
      <c r="Q35" s="54">
        <v>60251392</v>
      </c>
      <c r="R35" s="1">
        <f t="shared" ref="R35:R40" si="13">P35/$P$42*100%</f>
        <v>8.671364150396691E-4</v>
      </c>
      <c r="S35" s="54">
        <f t="shared" si="10"/>
        <v>2.3139586E-2</v>
      </c>
      <c r="T35" s="54">
        <v>23139586</v>
      </c>
      <c r="U35" s="1">
        <f t="shared" si="11"/>
        <v>1.6876353374015772E-3</v>
      </c>
      <c r="AB35" s="12" t="s">
        <v>665</v>
      </c>
      <c r="AC35" s="12" t="s">
        <v>647</v>
      </c>
      <c r="AD35" s="12" t="s">
        <v>648</v>
      </c>
      <c r="AE35" s="12">
        <v>6472555008</v>
      </c>
    </row>
    <row r="36" spans="6:31" x14ac:dyDescent="0.3">
      <c r="F36" t="s">
        <v>373</v>
      </c>
      <c r="G36" s="31">
        <f t="shared" si="6"/>
        <v>3.0395028480000001</v>
      </c>
      <c r="H36" s="31">
        <v>3039502848</v>
      </c>
      <c r="I36" s="1">
        <f t="shared" si="12"/>
        <v>4.2342308739058185E-2</v>
      </c>
      <c r="J36" s="31">
        <f t="shared" si="7"/>
        <v>0.84758182400000004</v>
      </c>
      <c r="K36" s="31">
        <v>847581824</v>
      </c>
      <c r="L36" s="1">
        <f t="shared" si="8"/>
        <v>6.0315983086149265E-2</v>
      </c>
      <c r="O36" s="54" t="s">
        <v>373</v>
      </c>
      <c r="P36" s="54">
        <f t="shared" si="9"/>
        <v>2.2645734399999999</v>
      </c>
      <c r="Q36" s="54">
        <v>2264573440</v>
      </c>
      <c r="R36" s="1">
        <f t="shared" si="13"/>
        <v>3.2591680111816353E-2</v>
      </c>
      <c r="S36" s="54">
        <f t="shared" si="10"/>
        <v>0.70412883199999998</v>
      </c>
      <c r="T36" s="54">
        <v>704128832</v>
      </c>
      <c r="U36" s="1">
        <f t="shared" si="11"/>
        <v>5.1354103697728144E-2</v>
      </c>
      <c r="AB36" s="12" t="s">
        <v>665</v>
      </c>
      <c r="AC36" s="12" t="s">
        <v>690</v>
      </c>
      <c r="AD36" s="12" t="s">
        <v>691</v>
      </c>
      <c r="AE36" s="12">
        <v>1554141056</v>
      </c>
    </row>
    <row r="37" spans="6:31" x14ac:dyDescent="0.3">
      <c r="F37" t="s">
        <v>374</v>
      </c>
      <c r="G37" s="31">
        <f t="shared" si="6"/>
        <v>9.9026626560000004</v>
      </c>
      <c r="H37" s="31">
        <v>9902662656</v>
      </c>
      <c r="I37" s="1">
        <f t="shared" si="12"/>
        <v>0.13795071776129289</v>
      </c>
      <c r="J37" s="31">
        <f t="shared" si="7"/>
        <v>0.92963257600000004</v>
      </c>
      <c r="K37" s="31">
        <v>929632576</v>
      </c>
      <c r="L37" s="1">
        <f t="shared" si="8"/>
        <v>6.6154914065676529E-2</v>
      </c>
      <c r="O37" s="54" t="s">
        <v>374</v>
      </c>
      <c r="P37" s="54">
        <f>Q37/1000000000</f>
        <v>9.0512312319999992</v>
      </c>
      <c r="Q37" s="54">
        <v>9051231232</v>
      </c>
      <c r="R37" s="1">
        <f t="shared" si="13"/>
        <v>0.1302650767340208</v>
      </c>
      <c r="S37" s="54">
        <f t="shared" si="10"/>
        <v>0.90719820799999995</v>
      </c>
      <c r="T37" s="54">
        <v>907198208</v>
      </c>
      <c r="U37" s="1">
        <f t="shared" si="11"/>
        <v>6.6164526618937181E-2</v>
      </c>
      <c r="AB37" s="12" t="s">
        <v>665</v>
      </c>
      <c r="AC37" s="12" t="s">
        <v>692</v>
      </c>
      <c r="AD37" s="12" t="s">
        <v>693</v>
      </c>
      <c r="AE37" s="12">
        <v>4060277248</v>
      </c>
    </row>
    <row r="38" spans="6:31" x14ac:dyDescent="0.3">
      <c r="F38" t="s">
        <v>375</v>
      </c>
      <c r="G38" s="31">
        <f t="shared" si="6"/>
        <v>9.0509342719999992</v>
      </c>
      <c r="H38" s="31">
        <v>9050934272</v>
      </c>
      <c r="I38" s="1">
        <f>G38/$G$42*100%</f>
        <v>0.12608557138682003</v>
      </c>
      <c r="J38" s="31">
        <f t="shared" si="7"/>
        <v>0</v>
      </c>
      <c r="K38">
        <v>0</v>
      </c>
      <c r="L38" s="1">
        <f t="shared" si="8"/>
        <v>0</v>
      </c>
      <c r="O38" s="54" t="s">
        <v>375</v>
      </c>
      <c r="P38" s="54">
        <f t="shared" si="9"/>
        <v>8.9829416959999993</v>
      </c>
      <c r="Q38" s="54">
        <v>8982941696</v>
      </c>
      <c r="R38" s="1">
        <f t="shared" si="13"/>
        <v>0.12928225556647394</v>
      </c>
      <c r="S38" s="54">
        <f t="shared" si="10"/>
        <v>0</v>
      </c>
      <c r="T38" s="54">
        <v>0</v>
      </c>
      <c r="U38" s="1">
        <f t="shared" si="11"/>
        <v>0</v>
      </c>
      <c r="AB38" s="12" t="s">
        <v>665</v>
      </c>
      <c r="AC38" s="12" t="s">
        <v>694</v>
      </c>
      <c r="AD38" s="12" t="s">
        <v>695</v>
      </c>
      <c r="AE38" s="12">
        <v>4505104384</v>
      </c>
    </row>
    <row r="39" spans="6:31" x14ac:dyDescent="0.3">
      <c r="F39" t="s">
        <v>376</v>
      </c>
      <c r="G39" s="31">
        <f t="shared" si="6"/>
        <v>3.3874076000000003E-2</v>
      </c>
      <c r="H39" s="31">
        <v>33874076</v>
      </c>
      <c r="I39" s="1">
        <f t="shared" si="12"/>
        <v>4.7188854755839376E-4</v>
      </c>
      <c r="J39" s="31">
        <f t="shared" si="7"/>
        <v>0</v>
      </c>
      <c r="K39">
        <v>0</v>
      </c>
      <c r="L39" s="1">
        <f t="shared" si="8"/>
        <v>0</v>
      </c>
      <c r="O39" s="54" t="s">
        <v>376</v>
      </c>
      <c r="P39" s="54">
        <f t="shared" si="9"/>
        <v>3.4176504000000003E-2</v>
      </c>
      <c r="Q39" s="54">
        <v>34176504</v>
      </c>
      <c r="R39" s="1">
        <f t="shared" si="13"/>
        <v>4.9186732743284852E-4</v>
      </c>
      <c r="S39" s="54">
        <f t="shared" si="10"/>
        <v>0</v>
      </c>
      <c r="T39" s="54">
        <v>0</v>
      </c>
      <c r="U39" s="1">
        <f t="shared" si="11"/>
        <v>0</v>
      </c>
      <c r="AB39" s="12" t="s">
        <v>665</v>
      </c>
      <c r="AC39" s="12" t="s">
        <v>649</v>
      </c>
      <c r="AD39" s="12" t="s">
        <v>650</v>
      </c>
      <c r="AE39" s="12">
        <v>3844130048</v>
      </c>
    </row>
    <row r="40" spans="6:31" x14ac:dyDescent="0.3">
      <c r="F40" t="s">
        <v>377</v>
      </c>
      <c r="G40" s="31">
        <f t="shared" si="6"/>
        <v>8.0589735999999995E-2</v>
      </c>
      <c r="H40" s="31">
        <v>80589736</v>
      </c>
      <c r="I40" s="1">
        <f t="shared" si="12"/>
        <v>1.1226689539562463E-3</v>
      </c>
      <c r="J40" s="31">
        <f t="shared" si="7"/>
        <v>0.83665318399999999</v>
      </c>
      <c r="K40" s="31">
        <v>836653184</v>
      </c>
      <c r="L40" s="1">
        <f t="shared" si="8"/>
        <v>5.9538274495981786E-2</v>
      </c>
      <c r="O40" s="54" t="s">
        <v>377</v>
      </c>
      <c r="P40" s="54">
        <f t="shared" si="9"/>
        <v>6.6087716000000005E-2</v>
      </c>
      <c r="Q40" s="54">
        <v>66087716</v>
      </c>
      <c r="R40" s="1">
        <f t="shared" si="13"/>
        <v>9.5113263325766445E-4</v>
      </c>
      <c r="S40" s="54">
        <f t="shared" si="10"/>
        <v>0.79310892799999999</v>
      </c>
      <c r="T40" s="54">
        <v>793108928</v>
      </c>
      <c r="U40" s="1">
        <f t="shared" si="11"/>
        <v>5.7843673318160621E-2</v>
      </c>
      <c r="AB40" s="12" t="s">
        <v>665</v>
      </c>
      <c r="AC40" s="12" t="s">
        <v>696</v>
      </c>
      <c r="AD40" s="12" t="s">
        <v>697</v>
      </c>
      <c r="AE40" s="12">
        <v>1137818112</v>
      </c>
    </row>
    <row r="41" spans="6:31" x14ac:dyDescent="0.3">
      <c r="O41" s="54"/>
      <c r="P41" s="54"/>
      <c r="Q41" s="54"/>
      <c r="R41" s="54"/>
      <c r="S41" s="54"/>
      <c r="T41" s="54"/>
      <c r="U41" s="54"/>
      <c r="AB41" s="12" t="s">
        <v>665</v>
      </c>
      <c r="AC41" s="12" t="s">
        <v>651</v>
      </c>
      <c r="AD41" s="12" t="s">
        <v>652</v>
      </c>
      <c r="AE41" s="12">
        <v>3828094720</v>
      </c>
    </row>
    <row r="42" spans="6:31" x14ac:dyDescent="0.3">
      <c r="G42">
        <f>SUM(G33:G41)</f>
        <v>71.784060399999987</v>
      </c>
      <c r="J42" s="31">
        <f>SUM(J33:J41)</f>
        <v>14.052358606</v>
      </c>
      <c r="O42" s="54"/>
      <c r="P42" s="54">
        <f>SUM(P33:P40)</f>
        <v>69.483175836000001</v>
      </c>
      <c r="Q42" s="54"/>
      <c r="R42" s="54"/>
      <c r="S42" s="54">
        <f>SUM(S33:S41)</f>
        <v>13.711247618</v>
      </c>
      <c r="T42" s="54"/>
      <c r="U42" s="54"/>
      <c r="AB42" s="12" t="s">
        <v>665</v>
      </c>
      <c r="AC42" s="12" t="s">
        <v>653</v>
      </c>
      <c r="AD42" s="12" t="s">
        <v>586</v>
      </c>
      <c r="AE42" s="12">
        <v>9398809600</v>
      </c>
    </row>
    <row r="43" spans="6:31" x14ac:dyDescent="0.3">
      <c r="AB43" s="12" t="s">
        <v>665</v>
      </c>
      <c r="AC43" s="12" t="s">
        <v>698</v>
      </c>
      <c r="AD43" s="12" t="s">
        <v>699</v>
      </c>
      <c r="AE43" s="12">
        <v>1634462464</v>
      </c>
    </row>
    <row r="44" spans="6:31" x14ac:dyDescent="0.3">
      <c r="I44" s="1"/>
      <c r="J44" s="1"/>
      <c r="K44" s="1"/>
      <c r="L44" s="1"/>
      <c r="AB44" s="12" t="s">
        <v>665</v>
      </c>
      <c r="AC44" s="12" t="s">
        <v>700</v>
      </c>
      <c r="AD44" s="12" t="s">
        <v>701</v>
      </c>
      <c r="AE44" s="12">
        <v>6509903360</v>
      </c>
    </row>
    <row r="45" spans="6:31" x14ac:dyDescent="0.3">
      <c r="AB45" s="12" t="s">
        <v>665</v>
      </c>
      <c r="AC45" s="12" t="s">
        <v>702</v>
      </c>
      <c r="AD45" s="12" t="s">
        <v>703</v>
      </c>
      <c r="AE45" s="12">
        <v>375303680</v>
      </c>
    </row>
    <row r="46" spans="6:31" x14ac:dyDescent="0.3">
      <c r="F46" s="31"/>
      <c r="AB46" s="12" t="s">
        <v>665</v>
      </c>
      <c r="AC46" s="12" t="s">
        <v>654</v>
      </c>
      <c r="AD46" s="12" t="s">
        <v>655</v>
      </c>
      <c r="AE46" s="12">
        <v>1287093248</v>
      </c>
    </row>
    <row r="47" spans="6:31" x14ac:dyDescent="0.3">
      <c r="F47" s="31"/>
      <c r="AB47" s="12" t="s">
        <v>665</v>
      </c>
      <c r="AC47" s="12" t="s">
        <v>704</v>
      </c>
      <c r="AD47" s="12" t="s">
        <v>705</v>
      </c>
      <c r="AE47" s="12">
        <v>95996440</v>
      </c>
    </row>
    <row r="48" spans="6:31" x14ac:dyDescent="0.3">
      <c r="F48" s="31"/>
      <c r="AB48" s="12" t="s">
        <v>665</v>
      </c>
      <c r="AC48" s="12" t="s">
        <v>706</v>
      </c>
      <c r="AD48" s="12" t="s">
        <v>707</v>
      </c>
      <c r="AE48" s="12">
        <v>222389968</v>
      </c>
    </row>
    <row r="49" spans="6:31" x14ac:dyDescent="0.3">
      <c r="F49" s="31"/>
      <c r="AB49" s="12" t="s">
        <v>665</v>
      </c>
      <c r="AC49" s="12" t="s">
        <v>708</v>
      </c>
      <c r="AD49" s="12" t="s">
        <v>709</v>
      </c>
      <c r="AE49" s="12">
        <v>352138048</v>
      </c>
    </row>
    <row r="50" spans="6:31" x14ac:dyDescent="0.3">
      <c r="F50" s="31"/>
      <c r="AB50" s="12" t="s">
        <v>665</v>
      </c>
      <c r="AC50" s="12" t="s">
        <v>656</v>
      </c>
      <c r="AD50" s="12" t="s">
        <v>657</v>
      </c>
      <c r="AE50" s="12">
        <v>31126409216</v>
      </c>
    </row>
    <row r="51" spans="6:31" x14ac:dyDescent="0.3">
      <c r="AB51" s="12" t="s">
        <v>665</v>
      </c>
      <c r="AC51" s="12" t="s">
        <v>658</v>
      </c>
      <c r="AD51" s="12" t="s">
        <v>659</v>
      </c>
      <c r="AE51" s="12">
        <v>24231931904</v>
      </c>
    </row>
    <row r="52" spans="6:31" x14ac:dyDescent="0.3">
      <c r="AB52" s="12" t="s">
        <v>665</v>
      </c>
      <c r="AC52" s="12" t="s">
        <v>660</v>
      </c>
      <c r="AD52" s="12" t="s">
        <v>661</v>
      </c>
      <c r="AE52" s="12">
        <v>3339538944</v>
      </c>
    </row>
    <row r="53" spans="6:31" x14ac:dyDescent="0.3">
      <c r="AB53" s="12" t="s">
        <v>665</v>
      </c>
      <c r="AC53" s="12" t="s">
        <v>662</v>
      </c>
      <c r="AD53" s="12" t="s">
        <v>583</v>
      </c>
      <c r="AE53" s="12">
        <v>278633840640</v>
      </c>
    </row>
    <row r="54" spans="6:31" x14ac:dyDescent="0.3">
      <c r="AB54" s="12" t="s">
        <v>665</v>
      </c>
      <c r="AC54" s="12" t="s">
        <v>710</v>
      </c>
      <c r="AD54" s="12" t="s">
        <v>711</v>
      </c>
      <c r="AE54" s="12">
        <v>1203062912</v>
      </c>
    </row>
    <row r="55" spans="6:31" x14ac:dyDescent="0.3">
      <c r="AB55" s="12" t="s">
        <v>665</v>
      </c>
      <c r="AC55" s="12" t="s">
        <v>663</v>
      </c>
      <c r="AD55" s="12" t="s">
        <v>584</v>
      </c>
      <c r="AE55" s="12">
        <v>64708898816</v>
      </c>
    </row>
    <row r="56" spans="6:31" x14ac:dyDescent="0.3">
      <c r="AB56" s="12" t="s">
        <v>665</v>
      </c>
      <c r="AC56" s="12" t="s">
        <v>664</v>
      </c>
      <c r="AD56" s="12" t="s">
        <v>622</v>
      </c>
      <c r="AE56" s="12">
        <v>25718730752</v>
      </c>
    </row>
    <row r="57" spans="6:31" x14ac:dyDescent="0.3">
      <c r="AB57" s="12" t="s">
        <v>665</v>
      </c>
      <c r="AC57" s="12" t="s">
        <v>712</v>
      </c>
      <c r="AD57" s="12" t="s">
        <v>713</v>
      </c>
      <c r="AE57" s="12">
        <v>2489973504</v>
      </c>
    </row>
    <row r="58" spans="6:31" x14ac:dyDescent="0.3">
      <c r="AB58" s="12" t="s">
        <v>714</v>
      </c>
      <c r="AC58" s="12" t="s">
        <v>715</v>
      </c>
      <c r="AD58" s="12" t="s">
        <v>667</v>
      </c>
      <c r="AE58" s="12">
        <v>214023680</v>
      </c>
    </row>
    <row r="59" spans="6:31" x14ac:dyDescent="0.3">
      <c r="AB59" s="12" t="s">
        <v>714</v>
      </c>
      <c r="AC59" s="12" t="s">
        <v>716</v>
      </c>
      <c r="AD59" s="12" t="s">
        <v>669</v>
      </c>
      <c r="AE59" s="12">
        <v>83453248</v>
      </c>
    </row>
    <row r="60" spans="6:31" x14ac:dyDescent="0.3">
      <c r="AB60" s="12" t="s">
        <v>714</v>
      </c>
      <c r="AC60" s="12" t="s">
        <v>717</v>
      </c>
      <c r="AD60" s="12" t="s">
        <v>677</v>
      </c>
      <c r="AE60" s="12">
        <v>2050550016</v>
      </c>
    </row>
    <row r="61" spans="6:31" x14ac:dyDescent="0.3">
      <c r="AB61" s="12" t="s">
        <v>714</v>
      </c>
      <c r="AC61" s="12" t="s">
        <v>718</v>
      </c>
      <c r="AD61" s="12" t="s">
        <v>679</v>
      </c>
      <c r="AE61" s="12">
        <v>215068512</v>
      </c>
    </row>
    <row r="62" spans="6:31" x14ac:dyDescent="0.3">
      <c r="AB62" s="12" t="s">
        <v>714</v>
      </c>
      <c r="AC62" s="12" t="s">
        <v>719</v>
      </c>
      <c r="AD62" s="12" t="s">
        <v>681</v>
      </c>
      <c r="AE62" s="12">
        <v>204944080</v>
      </c>
    </row>
    <row r="63" spans="6:31" x14ac:dyDescent="0.3">
      <c r="AB63" s="12" t="s">
        <v>714</v>
      </c>
      <c r="AC63" s="12" t="s">
        <v>720</v>
      </c>
      <c r="AD63" s="12" t="s">
        <v>685</v>
      </c>
      <c r="AE63" s="12">
        <v>200663072</v>
      </c>
    </row>
    <row r="64" spans="6:31" x14ac:dyDescent="0.3">
      <c r="AB64" s="12" t="s">
        <v>714</v>
      </c>
      <c r="AC64" s="12" t="s">
        <v>721</v>
      </c>
      <c r="AD64" s="12" t="s">
        <v>667</v>
      </c>
      <c r="AE64" s="12">
        <v>18502260</v>
      </c>
    </row>
    <row r="65" spans="28:31" x14ac:dyDescent="0.3">
      <c r="AB65" s="12" t="s">
        <v>714</v>
      </c>
      <c r="AC65" s="12" t="s">
        <v>722</v>
      </c>
      <c r="AD65" s="12" t="s">
        <v>669</v>
      </c>
      <c r="AE65" s="12">
        <v>6831795</v>
      </c>
    </row>
    <row r="66" spans="28:31" x14ac:dyDescent="0.3">
      <c r="AB66" s="12" t="s">
        <v>714</v>
      </c>
      <c r="AC66" s="12" t="s">
        <v>723</v>
      </c>
      <c r="AD66" s="12" t="s">
        <v>677</v>
      </c>
      <c r="AE66" s="12">
        <v>41749140</v>
      </c>
    </row>
    <row r="67" spans="28:31" x14ac:dyDescent="0.3">
      <c r="AB67" s="12" t="s">
        <v>714</v>
      </c>
      <c r="AC67" s="12" t="s">
        <v>724</v>
      </c>
      <c r="AD67" s="12" t="s">
        <v>679</v>
      </c>
      <c r="AE67" s="12">
        <v>7452989.5</v>
      </c>
    </row>
    <row r="68" spans="28:31" x14ac:dyDescent="0.3">
      <c r="AB68" s="12" t="s">
        <v>714</v>
      </c>
      <c r="AC68" s="12" t="s">
        <v>725</v>
      </c>
      <c r="AD68" s="12" t="s">
        <v>681</v>
      </c>
      <c r="AE68" s="12">
        <v>6486969</v>
      </c>
    </row>
    <row r="69" spans="28:31" x14ac:dyDescent="0.3">
      <c r="AB69" s="12" t="s">
        <v>714</v>
      </c>
      <c r="AC69" s="12" t="s">
        <v>726</v>
      </c>
      <c r="AD69" s="12" t="s">
        <v>685</v>
      </c>
      <c r="AE69" s="12">
        <v>2367831.5</v>
      </c>
    </row>
    <row r="70" spans="28:31" x14ac:dyDescent="0.3">
      <c r="AB70" s="12" t="s">
        <v>714</v>
      </c>
      <c r="AC70" s="12" t="s">
        <v>727</v>
      </c>
      <c r="AD70" s="12" t="s">
        <v>667</v>
      </c>
      <c r="AE70" s="12">
        <v>24852272</v>
      </c>
    </row>
    <row r="71" spans="28:31" x14ac:dyDescent="0.3">
      <c r="AB71" s="12" t="s">
        <v>714</v>
      </c>
      <c r="AC71" s="12" t="s">
        <v>728</v>
      </c>
      <c r="AD71" s="12" t="s">
        <v>669</v>
      </c>
      <c r="AE71" s="12">
        <v>785708224</v>
      </c>
    </row>
    <row r="72" spans="28:31" x14ac:dyDescent="0.3">
      <c r="AB72" s="12" t="s">
        <v>714</v>
      </c>
      <c r="AC72" s="12" t="s">
        <v>729</v>
      </c>
      <c r="AD72" s="12" t="s">
        <v>677</v>
      </c>
      <c r="AE72" s="12">
        <v>41235460</v>
      </c>
    </row>
    <row r="73" spans="28:31" x14ac:dyDescent="0.3">
      <c r="AB73" s="12" t="s">
        <v>714</v>
      </c>
      <c r="AC73" s="12" t="s">
        <v>730</v>
      </c>
      <c r="AD73" s="12" t="s">
        <v>679</v>
      </c>
      <c r="AE73" s="12">
        <v>897475.75</v>
      </c>
    </row>
    <row r="74" spans="28:31" x14ac:dyDescent="0.3">
      <c r="AB74" s="12" t="s">
        <v>714</v>
      </c>
      <c r="AC74" s="12" t="s">
        <v>731</v>
      </c>
      <c r="AD74" s="12" t="s">
        <v>681</v>
      </c>
      <c r="AE74" s="12">
        <v>6503150</v>
      </c>
    </row>
    <row r="75" spans="28:31" x14ac:dyDescent="0.3">
      <c r="AB75" s="12" t="s">
        <v>714</v>
      </c>
      <c r="AC75" s="12" t="s">
        <v>732</v>
      </c>
      <c r="AD75" s="12" t="s">
        <v>685</v>
      </c>
      <c r="AE75" s="12">
        <v>0</v>
      </c>
    </row>
    <row r="76" spans="28:31" x14ac:dyDescent="0.3">
      <c r="AB76" s="12" t="s">
        <v>714</v>
      </c>
      <c r="AC76" s="12" t="s">
        <v>733</v>
      </c>
      <c r="AD76" s="12" t="s">
        <v>667</v>
      </c>
      <c r="AE76" s="12">
        <v>2516667648</v>
      </c>
    </row>
    <row r="77" spans="28:31" x14ac:dyDescent="0.3">
      <c r="AB77" s="12" t="s">
        <v>714</v>
      </c>
      <c r="AC77" s="12" t="s">
        <v>734</v>
      </c>
      <c r="AD77" s="12" t="s">
        <v>669</v>
      </c>
      <c r="AE77" s="12">
        <v>0</v>
      </c>
    </row>
    <row r="78" spans="28:31" x14ac:dyDescent="0.3">
      <c r="AB78" s="12" t="s">
        <v>714</v>
      </c>
      <c r="AC78" s="12" t="s">
        <v>735</v>
      </c>
      <c r="AD78" s="12" t="s">
        <v>677</v>
      </c>
      <c r="AE78" s="12">
        <v>6466274816</v>
      </c>
    </row>
    <row r="79" spans="28:31" x14ac:dyDescent="0.3">
      <c r="AB79" s="12" t="s">
        <v>714</v>
      </c>
      <c r="AC79" s="12" t="s">
        <v>736</v>
      </c>
      <c r="AD79" s="12" t="s">
        <v>679</v>
      </c>
      <c r="AE79" s="12">
        <v>0</v>
      </c>
    </row>
    <row r="80" spans="28:31" x14ac:dyDescent="0.3">
      <c r="AB80" s="12" t="s">
        <v>714</v>
      </c>
      <c r="AC80" s="12" t="s">
        <v>737</v>
      </c>
      <c r="AD80" s="12" t="s">
        <v>681</v>
      </c>
      <c r="AE80" s="12">
        <v>0</v>
      </c>
    </row>
    <row r="81" spans="28:31" x14ac:dyDescent="0.3">
      <c r="AB81" s="12" t="s">
        <v>714</v>
      </c>
      <c r="AC81" s="12" t="s">
        <v>738</v>
      </c>
      <c r="AD81" s="12" t="s">
        <v>685</v>
      </c>
      <c r="AE81" s="12">
        <v>0</v>
      </c>
    </row>
    <row r="82" spans="28:31" x14ac:dyDescent="0.3">
      <c r="AB82" s="12" t="s">
        <v>714</v>
      </c>
      <c r="AC82" s="12" t="s">
        <v>739</v>
      </c>
      <c r="AD82" s="12" t="s">
        <v>667</v>
      </c>
      <c r="AE82" s="12">
        <v>4076684544</v>
      </c>
    </row>
    <row r="83" spans="28:31" x14ac:dyDescent="0.3">
      <c r="AB83" s="12" t="s">
        <v>714</v>
      </c>
      <c r="AC83" s="12" t="s">
        <v>740</v>
      </c>
      <c r="AD83" s="12" t="s">
        <v>669</v>
      </c>
      <c r="AE83" s="12">
        <v>371516608</v>
      </c>
    </row>
    <row r="84" spans="28:31" x14ac:dyDescent="0.3">
      <c r="AB84" s="12" t="s">
        <v>714</v>
      </c>
      <c r="AC84" s="12" t="s">
        <v>741</v>
      </c>
      <c r="AD84" s="12" t="s">
        <v>677</v>
      </c>
      <c r="AE84" s="12">
        <v>4974548992</v>
      </c>
    </row>
    <row r="85" spans="28:31" x14ac:dyDescent="0.3">
      <c r="AB85" s="12" t="s">
        <v>714</v>
      </c>
      <c r="AC85" s="12" t="s">
        <v>742</v>
      </c>
      <c r="AD85" s="12" t="s">
        <v>679</v>
      </c>
      <c r="AE85" s="12">
        <v>156161280</v>
      </c>
    </row>
    <row r="86" spans="28:31" x14ac:dyDescent="0.3">
      <c r="AB86" s="12" t="s">
        <v>714</v>
      </c>
      <c r="AC86" s="12" t="s">
        <v>743</v>
      </c>
      <c r="AD86" s="12" t="s">
        <v>681</v>
      </c>
      <c r="AE86" s="12">
        <v>257116160</v>
      </c>
    </row>
    <row r="87" spans="28:31" x14ac:dyDescent="0.3">
      <c r="AB87" s="12" t="s">
        <v>714</v>
      </c>
      <c r="AC87" s="12" t="s">
        <v>744</v>
      </c>
      <c r="AD87" s="12" t="s">
        <v>685</v>
      </c>
      <c r="AE87" s="12">
        <v>122404288</v>
      </c>
    </row>
    <row r="88" spans="28:31" x14ac:dyDescent="0.3">
      <c r="AB88" s="12" t="s">
        <v>714</v>
      </c>
      <c r="AC88" s="12" t="s">
        <v>745</v>
      </c>
      <c r="AD88" s="12" t="s">
        <v>667</v>
      </c>
      <c r="AE88" s="12">
        <v>12099551</v>
      </c>
    </row>
    <row r="89" spans="28:31" x14ac:dyDescent="0.3">
      <c r="AB89" s="12" t="s">
        <v>714</v>
      </c>
      <c r="AC89" s="12" t="s">
        <v>746</v>
      </c>
      <c r="AD89" s="12" t="s">
        <v>669</v>
      </c>
      <c r="AE89" s="12">
        <v>0</v>
      </c>
    </row>
    <row r="90" spans="28:31" x14ac:dyDescent="0.3">
      <c r="AB90" s="12" t="s">
        <v>714</v>
      </c>
      <c r="AC90" s="12" t="s">
        <v>747</v>
      </c>
      <c r="AD90" s="12" t="s">
        <v>677</v>
      </c>
      <c r="AE90" s="12">
        <v>22076948</v>
      </c>
    </row>
    <row r="91" spans="28:31" x14ac:dyDescent="0.3">
      <c r="AB91" s="12" t="s">
        <v>714</v>
      </c>
      <c r="AC91" s="12" t="s">
        <v>748</v>
      </c>
      <c r="AD91" s="12" t="s">
        <v>679</v>
      </c>
      <c r="AE91" s="12">
        <v>0</v>
      </c>
    </row>
    <row r="92" spans="28:31" x14ac:dyDescent="0.3">
      <c r="AB92" s="12" t="s">
        <v>714</v>
      </c>
      <c r="AC92" s="12" t="s">
        <v>749</v>
      </c>
      <c r="AD92" s="12" t="s">
        <v>681</v>
      </c>
      <c r="AE92" s="12">
        <v>0</v>
      </c>
    </row>
    <row r="93" spans="28:31" x14ac:dyDescent="0.3">
      <c r="AB93" s="12" t="s">
        <v>714</v>
      </c>
      <c r="AC93" s="12" t="s">
        <v>750</v>
      </c>
      <c r="AD93" s="12" t="s">
        <v>685</v>
      </c>
      <c r="AE93" s="12">
        <v>0</v>
      </c>
    </row>
    <row r="94" spans="28:31" x14ac:dyDescent="0.3">
      <c r="AB94" s="12" t="s">
        <v>714</v>
      </c>
      <c r="AC94" s="12" t="s">
        <v>751</v>
      </c>
      <c r="AD94" s="12" t="s">
        <v>667</v>
      </c>
      <c r="AE94" s="12">
        <v>17515282432</v>
      </c>
    </row>
    <row r="95" spans="28:31" x14ac:dyDescent="0.3">
      <c r="AB95" s="12" t="s">
        <v>714</v>
      </c>
      <c r="AC95" s="12" t="s">
        <v>752</v>
      </c>
      <c r="AD95" s="12" t="s">
        <v>669</v>
      </c>
      <c r="AE95" s="12">
        <v>4429821440</v>
      </c>
    </row>
    <row r="96" spans="28:31" x14ac:dyDescent="0.3">
      <c r="AB96" s="12" t="s">
        <v>714</v>
      </c>
      <c r="AC96" s="12" t="s">
        <v>753</v>
      </c>
      <c r="AD96" s="12" t="s">
        <v>677</v>
      </c>
      <c r="AE96" s="12">
        <v>29420343296</v>
      </c>
    </row>
    <row r="97" spans="28:31" x14ac:dyDescent="0.3">
      <c r="AB97" s="12" t="s">
        <v>714</v>
      </c>
      <c r="AC97" s="12" t="s">
        <v>754</v>
      </c>
      <c r="AD97" s="12" t="s">
        <v>679</v>
      </c>
      <c r="AE97" s="12">
        <v>2619554560</v>
      </c>
    </row>
    <row r="98" spans="28:31" x14ac:dyDescent="0.3">
      <c r="AB98" s="12" t="s">
        <v>714</v>
      </c>
      <c r="AC98" s="12" t="s">
        <v>755</v>
      </c>
      <c r="AD98" s="12" t="s">
        <v>681</v>
      </c>
      <c r="AE98" s="12">
        <v>1586123520</v>
      </c>
    </row>
    <row r="99" spans="28:31" x14ac:dyDescent="0.3">
      <c r="AB99" s="12" t="s">
        <v>714</v>
      </c>
      <c r="AC99" s="12" t="s">
        <v>756</v>
      </c>
      <c r="AD99" s="12" t="s">
        <v>685</v>
      </c>
      <c r="AE99" s="12">
        <v>1522109824</v>
      </c>
    </row>
    <row r="100" spans="28:31" x14ac:dyDescent="0.3">
      <c r="AB100" s="12" t="s">
        <v>714</v>
      </c>
      <c r="AC100" s="12" t="s">
        <v>757</v>
      </c>
      <c r="AD100" s="12" t="s">
        <v>667</v>
      </c>
      <c r="AE100" s="12">
        <v>769091904</v>
      </c>
    </row>
    <row r="101" spans="28:31" x14ac:dyDescent="0.3">
      <c r="AB101" s="12" t="s">
        <v>714</v>
      </c>
      <c r="AC101" s="12" t="s">
        <v>758</v>
      </c>
      <c r="AD101" s="12" t="s">
        <v>669</v>
      </c>
      <c r="AE101" s="12">
        <v>84410888</v>
      </c>
    </row>
    <row r="102" spans="28:31" x14ac:dyDescent="0.3">
      <c r="AB102" s="12" t="s">
        <v>714</v>
      </c>
      <c r="AC102" s="12" t="s">
        <v>759</v>
      </c>
      <c r="AD102" s="12" t="s">
        <v>677</v>
      </c>
      <c r="AE102" s="12">
        <v>1319199872</v>
      </c>
    </row>
    <row r="103" spans="28:31" x14ac:dyDescent="0.3">
      <c r="AB103" s="12" t="s">
        <v>714</v>
      </c>
      <c r="AC103" s="12" t="s">
        <v>760</v>
      </c>
      <c r="AD103" s="12" t="s">
        <v>679</v>
      </c>
      <c r="AE103" s="12">
        <v>841273024</v>
      </c>
    </row>
    <row r="104" spans="28:31" x14ac:dyDescent="0.3">
      <c r="AB104" s="12" t="s">
        <v>714</v>
      </c>
      <c r="AC104" s="12" t="s">
        <v>761</v>
      </c>
      <c r="AD104" s="12" t="s">
        <v>681</v>
      </c>
      <c r="AE104" s="12">
        <v>143553984</v>
      </c>
    </row>
    <row r="105" spans="28:31" x14ac:dyDescent="0.3">
      <c r="AB105" s="12" t="s">
        <v>714</v>
      </c>
      <c r="AC105" s="12" t="s">
        <v>762</v>
      </c>
      <c r="AD105" s="12" t="s">
        <v>685</v>
      </c>
      <c r="AE105" s="12">
        <v>56825408</v>
      </c>
    </row>
    <row r="106" spans="28:31" x14ac:dyDescent="0.3">
      <c r="AB106" s="12"/>
      <c r="AC106" s="12"/>
      <c r="AD106" s="12"/>
      <c r="AE106" s="12"/>
    </row>
  </sheetData>
  <mergeCells count="1">
    <mergeCell ref="A1:I1"/>
  </mergeCells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A8D5-FE20-4A55-9A60-28283E8A2F79}">
  <dimension ref="A4:P71"/>
  <sheetViews>
    <sheetView workbookViewId="0">
      <selection activeCell="N17" sqref="N17"/>
    </sheetView>
  </sheetViews>
  <sheetFormatPr defaultRowHeight="18.5" customHeight="1" x14ac:dyDescent="0.3"/>
  <cols>
    <col min="1" max="1" width="37.6640625" customWidth="1"/>
    <col min="2" max="2" width="15.58203125" bestFit="1" customWidth="1"/>
    <col min="3" max="5" width="8.08203125" customWidth="1"/>
    <col min="6" max="8" width="8.33203125" customWidth="1"/>
    <col min="9" max="9" width="8.83203125" customWidth="1"/>
    <col min="10" max="10" width="6.9140625" customWidth="1"/>
    <col min="11" max="11" width="8.58203125" customWidth="1"/>
    <col min="12" max="12" width="18.08203125" customWidth="1"/>
    <col min="13" max="13" width="26.08203125" customWidth="1"/>
    <col min="14" max="14" width="12.33203125" bestFit="1" customWidth="1"/>
  </cols>
  <sheetData>
    <row r="4" spans="1:15" ht="18.5" customHeight="1" x14ac:dyDescent="0.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5" ht="18.5" customHeight="1" x14ac:dyDescent="0.3">
      <c r="A5" s="54" t="s">
        <v>26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5" ht="18.5" customHeight="1" x14ac:dyDescent="0.3">
      <c r="A6" s="54"/>
      <c r="B6" s="54" t="s">
        <v>7</v>
      </c>
      <c r="C6" s="54" t="s">
        <v>7</v>
      </c>
      <c r="D6" s="54" t="s">
        <v>7</v>
      </c>
      <c r="E6" s="54" t="s">
        <v>7</v>
      </c>
      <c r="F6" s="54" t="s">
        <v>7</v>
      </c>
      <c r="G6" s="54"/>
      <c r="H6" s="54"/>
      <c r="I6" s="54" t="s">
        <v>20</v>
      </c>
      <c r="J6" s="54"/>
      <c r="K6" s="54"/>
      <c r="L6" s="54"/>
    </row>
    <row r="7" spans="1:15" ht="18.5" customHeight="1" x14ac:dyDescent="0.3">
      <c r="A7" s="54"/>
      <c r="B7" s="54" t="s">
        <v>13</v>
      </c>
      <c r="C7" s="54" t="s">
        <v>14</v>
      </c>
      <c r="D7" s="54"/>
      <c r="E7" s="54"/>
      <c r="F7" s="54" t="s">
        <v>15</v>
      </c>
      <c r="G7" s="54"/>
      <c r="H7" s="54"/>
      <c r="I7" s="54" t="s">
        <v>15</v>
      </c>
      <c r="J7" s="54"/>
      <c r="K7" s="54"/>
      <c r="L7" s="54" t="s">
        <v>16</v>
      </c>
      <c r="M7" t="s">
        <v>17</v>
      </c>
      <c r="N7" t="s">
        <v>18</v>
      </c>
      <c r="O7" t="s">
        <v>19</v>
      </c>
    </row>
    <row r="8" spans="1:15" ht="18.5" customHeight="1" x14ac:dyDescent="0.3">
      <c r="A8" s="54"/>
      <c r="B8" s="54"/>
      <c r="C8" s="54" t="s">
        <v>27</v>
      </c>
      <c r="D8" s="54" t="s">
        <v>18</v>
      </c>
      <c r="E8" s="54" t="s">
        <v>19</v>
      </c>
      <c r="F8" s="54" t="s">
        <v>28</v>
      </c>
      <c r="G8" s="54" t="s">
        <v>29</v>
      </c>
      <c r="H8" s="54" t="s">
        <v>30</v>
      </c>
      <c r="I8" s="54"/>
      <c r="J8" s="54"/>
      <c r="K8" s="54"/>
      <c r="L8" s="54" t="s">
        <v>20</v>
      </c>
      <c r="M8">
        <v>6.48</v>
      </c>
    </row>
    <row r="9" spans="1:15" ht="18.5" customHeight="1" x14ac:dyDescent="0.3">
      <c r="A9" s="54" t="s">
        <v>21</v>
      </c>
      <c r="B9" s="54">
        <v>600</v>
      </c>
      <c r="C9" s="54">
        <v>250</v>
      </c>
      <c r="D9" s="54">
        <v>25</v>
      </c>
      <c r="E9" s="54">
        <v>2500</v>
      </c>
      <c r="F9" s="54">
        <v>600</v>
      </c>
      <c r="G9" s="54">
        <v>200</v>
      </c>
      <c r="H9" s="54">
        <v>2000</v>
      </c>
      <c r="I9" s="54">
        <v>160</v>
      </c>
      <c r="J9" s="54"/>
      <c r="K9" s="54"/>
      <c r="L9" s="54">
        <v>100</v>
      </c>
      <c r="M9">
        <f>L9*$M$8</f>
        <v>648</v>
      </c>
      <c r="N9">
        <v>200</v>
      </c>
      <c r="O9">
        <v>2000</v>
      </c>
    </row>
    <row r="10" spans="1:15" ht="18.5" customHeight="1" x14ac:dyDescent="0.3">
      <c r="A10" s="54" t="s">
        <v>25</v>
      </c>
      <c r="B10" s="54">
        <v>80</v>
      </c>
      <c r="C10" s="54">
        <v>50</v>
      </c>
      <c r="D10" s="54">
        <v>40</v>
      </c>
      <c r="E10" s="54">
        <v>60</v>
      </c>
      <c r="F10" s="54">
        <v>38</v>
      </c>
      <c r="G10" s="54">
        <v>20</v>
      </c>
      <c r="H10" s="54">
        <v>62</v>
      </c>
      <c r="I10" s="54">
        <v>2.98</v>
      </c>
      <c r="J10" s="54"/>
      <c r="K10" s="54"/>
      <c r="L10" s="54" t="s">
        <v>22</v>
      </c>
      <c r="M10" t="str">
        <f>H23</f>
        <v>only North America</v>
      </c>
      <c r="N10">
        <f>G23</f>
        <v>0</v>
      </c>
      <c r="O10" t="e">
        <f>#REF!</f>
        <v>#REF!</v>
      </c>
    </row>
    <row r="11" spans="1:15" ht="18.5" customHeight="1" x14ac:dyDescent="0.3">
      <c r="A11" s="54" t="s">
        <v>23</v>
      </c>
      <c r="B11" s="54">
        <v>1580</v>
      </c>
      <c r="C11" s="54">
        <v>1470</v>
      </c>
      <c r="D11" s="54">
        <v>950</v>
      </c>
      <c r="E11" s="54">
        <v>2620</v>
      </c>
      <c r="F11" s="54">
        <v>150</v>
      </c>
      <c r="G11" s="54">
        <v>120</v>
      </c>
      <c r="H11" s="54">
        <v>260</v>
      </c>
      <c r="I11" s="54">
        <v>9.2089999999999996</v>
      </c>
      <c r="J11" s="54"/>
      <c r="K11" s="54"/>
      <c r="L11" s="54">
        <v>0.81799999999999995</v>
      </c>
      <c r="M11" t="e">
        <f>#REF!</f>
        <v>#REF!</v>
      </c>
      <c r="N11">
        <f>L14</f>
        <v>0</v>
      </c>
      <c r="O11">
        <f>M14</f>
        <v>0</v>
      </c>
    </row>
    <row r="12" spans="1:15" ht="18.5" customHeight="1" x14ac:dyDescent="0.3">
      <c r="A12" s="54" t="s">
        <v>24</v>
      </c>
      <c r="B12" s="54">
        <v>3850</v>
      </c>
      <c r="C12" s="54">
        <v>1180</v>
      </c>
      <c r="D12" s="54">
        <v>585</v>
      </c>
      <c r="E12" s="54">
        <v>3120</v>
      </c>
      <c r="F12" s="54">
        <v>480</v>
      </c>
      <c r="G12" s="54">
        <v>130</v>
      </c>
      <c r="H12" s="54">
        <v>6000</v>
      </c>
      <c r="I12" s="54">
        <v>83.52</v>
      </c>
      <c r="J12" s="54">
        <v>19</v>
      </c>
      <c r="K12" s="54">
        <v>2000</v>
      </c>
      <c r="L12" s="54">
        <v>1200.3989999999999</v>
      </c>
      <c r="M12">
        <v>4028.3229999999999</v>
      </c>
      <c r="N12">
        <v>253.78200000000001</v>
      </c>
      <c r="O12">
        <v>18127.396000000001</v>
      </c>
    </row>
    <row r="13" spans="1:15" ht="18.5" customHeight="1" x14ac:dyDescent="0.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1:15" ht="18.5" customHeight="1" x14ac:dyDescent="0.3">
      <c r="A14" t="s">
        <v>36</v>
      </c>
      <c r="C14">
        <v>300</v>
      </c>
      <c r="D14">
        <v>50</v>
      </c>
      <c r="E14">
        <v>500</v>
      </c>
    </row>
    <row r="16" spans="1:15" ht="18.5" customHeight="1" x14ac:dyDescent="0.3">
      <c r="A16" t="s">
        <v>37</v>
      </c>
      <c r="C16">
        <v>3200</v>
      </c>
      <c r="D16">
        <v>1700</v>
      </c>
      <c r="E16">
        <v>8800</v>
      </c>
    </row>
    <row r="21" spans="1:13" ht="18.5" customHeight="1" x14ac:dyDescent="0.3">
      <c r="B21" t="s">
        <v>38</v>
      </c>
      <c r="H21" s="6" t="s">
        <v>40</v>
      </c>
      <c r="I21" s="6"/>
      <c r="J21" s="6"/>
      <c r="K21" s="6"/>
      <c r="L21" s="6"/>
      <c r="M21" s="6"/>
    </row>
    <row r="22" spans="1:13" ht="18.5" customHeight="1" x14ac:dyDescent="0.3">
      <c r="B22" t="s">
        <v>39</v>
      </c>
      <c r="H22" s="6" t="s">
        <v>41</v>
      </c>
      <c r="I22" s="6"/>
      <c r="J22" s="6"/>
      <c r="K22" s="6"/>
      <c r="L22" s="6"/>
      <c r="M22" s="6"/>
    </row>
    <row r="23" spans="1:13" ht="18.5" customHeight="1" x14ac:dyDescent="0.3">
      <c r="B23" t="s">
        <v>42</v>
      </c>
      <c r="E23" t="s">
        <v>7</v>
      </c>
      <c r="H23" s="6" t="s">
        <v>42</v>
      </c>
      <c r="I23" s="6"/>
      <c r="J23" s="6"/>
      <c r="K23" s="6" t="s">
        <v>43</v>
      </c>
      <c r="L23" s="6"/>
      <c r="M23" s="6"/>
    </row>
    <row r="24" spans="1:13" ht="18.5" customHeight="1" x14ac:dyDescent="0.3">
      <c r="B24" t="s">
        <v>44</v>
      </c>
      <c r="C24" t="s">
        <v>45</v>
      </c>
      <c r="D24" t="s">
        <v>46</v>
      </c>
      <c r="E24" t="s">
        <v>44</v>
      </c>
      <c r="F24" t="s">
        <v>45</v>
      </c>
      <c r="G24" t="s">
        <v>46</v>
      </c>
      <c r="H24" s="6" t="s">
        <v>44</v>
      </c>
      <c r="I24" s="6" t="s">
        <v>45</v>
      </c>
      <c r="J24" s="6" t="s">
        <v>46</v>
      </c>
      <c r="K24" s="6" t="s">
        <v>44</v>
      </c>
      <c r="L24" s="6" t="s">
        <v>45</v>
      </c>
      <c r="M24" s="6" t="s">
        <v>46</v>
      </c>
    </row>
    <row r="25" spans="1:13" ht="18.5" customHeight="1" x14ac:dyDescent="0.3">
      <c r="A25" t="s">
        <v>21</v>
      </c>
      <c r="B25">
        <v>160</v>
      </c>
      <c r="C25">
        <v>80</v>
      </c>
      <c r="D25">
        <v>240</v>
      </c>
      <c r="E25">
        <v>600</v>
      </c>
      <c r="F25">
        <v>200</v>
      </c>
      <c r="G25">
        <v>2000</v>
      </c>
      <c r="H25" s="6">
        <v>100</v>
      </c>
      <c r="I25" s="6"/>
      <c r="J25" s="6"/>
      <c r="K25" s="6">
        <v>600</v>
      </c>
      <c r="L25" s="6">
        <v>200</v>
      </c>
      <c r="M25" s="6">
        <v>2000</v>
      </c>
    </row>
    <row r="26" spans="1:13" ht="18.5" customHeight="1" x14ac:dyDescent="0.3">
      <c r="A26" t="s">
        <v>332</v>
      </c>
      <c r="B26">
        <v>3</v>
      </c>
      <c r="C26">
        <v>2.2999999999999998</v>
      </c>
      <c r="D26">
        <v>4.3</v>
      </c>
      <c r="E26">
        <v>38</v>
      </c>
      <c r="F26">
        <v>20</v>
      </c>
      <c r="G26">
        <v>62</v>
      </c>
      <c r="H26" s="6">
        <v>9.5</v>
      </c>
      <c r="I26" s="6">
        <f>(B26-C26)/B26</f>
        <v>0.23333333333333339</v>
      </c>
      <c r="J26" s="6">
        <f>(D26-B26)/B26</f>
        <v>0.43333333333333329</v>
      </c>
      <c r="K26" s="6">
        <v>120</v>
      </c>
      <c r="L26" s="6">
        <v>48.8</v>
      </c>
      <c r="M26" s="6">
        <v>246</v>
      </c>
    </row>
    <row r="27" spans="1:13" ht="18.5" customHeight="1" x14ac:dyDescent="0.3">
      <c r="A27" s="31" t="s">
        <v>333</v>
      </c>
      <c r="H27" s="6"/>
      <c r="I27" s="6"/>
      <c r="J27" s="6"/>
      <c r="K27" s="6">
        <f>K26+57</f>
        <v>177</v>
      </c>
      <c r="L27" s="6">
        <f t="shared" ref="L27:M27" si="0">L26+57</f>
        <v>105.8</v>
      </c>
      <c r="M27" s="6">
        <f t="shared" si="0"/>
        <v>303</v>
      </c>
    </row>
    <row r="28" spans="1:13" ht="18.5" customHeight="1" x14ac:dyDescent="0.3">
      <c r="A28" t="s">
        <v>23</v>
      </c>
      <c r="B28">
        <v>9.1</v>
      </c>
      <c r="C28">
        <v>7.4</v>
      </c>
      <c r="D28">
        <v>11</v>
      </c>
      <c r="E28">
        <v>150</v>
      </c>
      <c r="F28">
        <v>120</v>
      </c>
      <c r="G28">
        <v>260</v>
      </c>
      <c r="H28" s="6">
        <v>0.81799999999999995</v>
      </c>
      <c r="I28" s="6"/>
      <c r="J28" s="6"/>
      <c r="K28" s="6">
        <v>13.5</v>
      </c>
      <c r="L28" s="6">
        <v>8.84</v>
      </c>
      <c r="M28" s="6">
        <v>24.6</v>
      </c>
    </row>
    <row r="29" spans="1:13" ht="18.5" customHeight="1" x14ac:dyDescent="0.3">
      <c r="A29" t="s">
        <v>24</v>
      </c>
      <c r="B29">
        <v>84</v>
      </c>
      <c r="C29">
        <v>19</v>
      </c>
      <c r="D29">
        <v>2000</v>
      </c>
      <c r="E29">
        <v>480</v>
      </c>
      <c r="F29">
        <v>130</v>
      </c>
      <c r="G29">
        <v>6000</v>
      </c>
      <c r="H29" s="6">
        <v>1200.3989999999999</v>
      </c>
      <c r="I29" s="6"/>
      <c r="J29" s="6"/>
      <c r="K29" s="6">
        <v>4030</v>
      </c>
      <c r="L29" s="6">
        <v>254</v>
      </c>
      <c r="M29" s="6">
        <v>18100</v>
      </c>
    </row>
    <row r="36" spans="1:16" ht="18.5" customHeight="1" x14ac:dyDescent="0.3">
      <c r="I36" s="12"/>
      <c r="J36" s="12"/>
    </row>
    <row r="37" spans="1:16" ht="18.5" customHeight="1" x14ac:dyDescent="0.3">
      <c r="H37" s="12"/>
      <c r="I37" s="12"/>
      <c r="J37" s="12"/>
    </row>
    <row r="38" spans="1:16" ht="18.5" customHeight="1" x14ac:dyDescent="0.3">
      <c r="H38" s="13"/>
      <c r="I38" s="12"/>
      <c r="J38" s="12"/>
    </row>
    <row r="39" spans="1:16" ht="18.5" customHeight="1" x14ac:dyDescent="0.3">
      <c r="H39" s="12"/>
      <c r="I39" s="12"/>
      <c r="J39" s="12"/>
    </row>
    <row r="44" spans="1:16" ht="18.5" customHeight="1" x14ac:dyDescent="0.3">
      <c r="A44" s="3"/>
      <c r="B44" s="3"/>
      <c r="E44" s="3"/>
      <c r="F44" s="3"/>
      <c r="L44" s="4"/>
      <c r="M44" s="4"/>
      <c r="N44" s="4"/>
      <c r="O44" s="3"/>
      <c r="P44" s="3"/>
    </row>
    <row r="45" spans="1:16" ht="18.5" customHeight="1" x14ac:dyDescent="0.3">
      <c r="A45" s="3"/>
      <c r="B45" s="3"/>
      <c r="E45" s="3"/>
      <c r="F45" s="3"/>
      <c r="L45" s="4"/>
      <c r="M45" s="4"/>
      <c r="N45" s="4"/>
      <c r="O45" s="3"/>
      <c r="P45" s="3"/>
    </row>
    <row r="46" spans="1:16" ht="18.5" customHeight="1" x14ac:dyDescent="0.3">
      <c r="A46" s="3"/>
      <c r="B46" s="3"/>
      <c r="E46" s="3"/>
      <c r="F46" s="3"/>
      <c r="L46" s="4"/>
      <c r="M46" s="4"/>
      <c r="N46" s="4"/>
      <c r="O46" s="3"/>
      <c r="P46" s="3"/>
    </row>
    <row r="47" spans="1:16" ht="18.5" customHeight="1" x14ac:dyDescent="0.3">
      <c r="A47" s="3"/>
      <c r="B47" s="3"/>
      <c r="E47" s="3"/>
      <c r="F47" s="3"/>
      <c r="L47" s="4"/>
      <c r="M47" s="4"/>
      <c r="N47" s="4"/>
      <c r="O47" s="3"/>
      <c r="P47" s="3"/>
    </row>
    <row r="48" spans="1:16" ht="18.5" customHeight="1" x14ac:dyDescent="0.3">
      <c r="A48" s="3"/>
      <c r="L48" s="5"/>
      <c r="M48" s="5"/>
      <c r="N48" s="5"/>
    </row>
    <row r="53" spans="13:14" ht="18.5" customHeight="1" x14ac:dyDescent="0.3">
      <c r="M53" s="5"/>
      <c r="N53" s="5"/>
    </row>
    <row r="68" spans="1:2" ht="18.5" customHeight="1" x14ac:dyDescent="0.3">
      <c r="B68" s="7"/>
    </row>
    <row r="69" spans="1:2" ht="18.5" customHeight="1" x14ac:dyDescent="0.35">
      <c r="A69" s="8"/>
    </row>
    <row r="70" spans="1:2" ht="18.5" customHeight="1" x14ac:dyDescent="0.3">
      <c r="A70" s="9"/>
    </row>
    <row r="71" spans="1:2" ht="18.5" customHeight="1" x14ac:dyDescent="0.3">
      <c r="A71" s="9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E7BC-8DDD-4C33-9DEE-4EDE508D086F}">
  <dimension ref="A2:AS184"/>
  <sheetViews>
    <sheetView zoomScale="85" zoomScaleNormal="85" workbookViewId="0">
      <pane xSplit="1" topLeftCell="B1" activePane="topRight" state="frozen"/>
      <selection pane="topRight" activeCell="G1" sqref="G1:G1048576"/>
    </sheetView>
  </sheetViews>
  <sheetFormatPr defaultColWidth="8" defaultRowHeight="14" x14ac:dyDescent="0.3"/>
  <cols>
    <col min="1" max="1" width="27.4140625" customWidth="1"/>
    <col min="2" max="2" width="22.5" customWidth="1"/>
    <col min="3" max="3" width="12.5" style="28" bestFit="1" customWidth="1"/>
    <col min="4" max="4" width="40.33203125" style="60" customWidth="1"/>
    <col min="6" max="6" width="22.83203125" customWidth="1"/>
    <col min="7" max="7" width="23.08203125" bestFit="1" customWidth="1"/>
    <col min="8" max="8" width="16.25" customWidth="1"/>
    <col min="9" max="9" width="17.9140625" bestFit="1" customWidth="1"/>
    <col min="10" max="10" width="12.08203125" bestFit="1" customWidth="1"/>
    <col min="11" max="11" width="17.33203125" bestFit="1" customWidth="1"/>
    <col min="12" max="12" width="14.08203125" bestFit="1" customWidth="1"/>
    <col min="13" max="13" width="13.83203125" customWidth="1"/>
    <col min="14" max="14" width="13.83203125" bestFit="1" customWidth="1"/>
    <col min="15" max="15" width="15.75" customWidth="1"/>
    <col min="16" max="16" width="14.83203125" customWidth="1"/>
    <col min="17" max="17" width="13.5" customWidth="1"/>
    <col min="18" max="18" width="28.33203125" customWidth="1"/>
    <col min="19" max="19" width="14.58203125" bestFit="1" customWidth="1"/>
    <col min="20" max="20" width="15.75" bestFit="1" customWidth="1"/>
    <col min="21" max="21" width="6.58203125" bestFit="1" customWidth="1"/>
    <col min="22" max="22" width="8.33203125" bestFit="1" customWidth="1"/>
    <col min="23" max="23" width="7.5" bestFit="1" customWidth="1"/>
    <col min="24" max="24" width="8.1640625" bestFit="1" customWidth="1"/>
    <col min="25" max="25" width="13" bestFit="1" customWidth="1"/>
    <col min="26" max="26" width="17.5" bestFit="1" customWidth="1"/>
    <col min="27" max="27" width="8.1640625" bestFit="1" customWidth="1"/>
    <col min="28" max="28" width="9.75" bestFit="1" customWidth="1"/>
    <col min="29" max="29" width="10.9140625" bestFit="1" customWidth="1"/>
    <col min="32" max="37" width="15.9140625" customWidth="1"/>
    <col min="38" max="38" width="14.9140625" customWidth="1"/>
    <col min="40" max="42" width="12.1640625" customWidth="1"/>
    <col min="43" max="43" width="18.9140625" customWidth="1"/>
    <col min="44" max="44" width="18.58203125" customWidth="1"/>
    <col min="45" max="46" width="15.9140625" customWidth="1"/>
  </cols>
  <sheetData>
    <row r="2" spans="1:45" x14ac:dyDescent="0.3">
      <c r="AJ2" t="s">
        <v>320</v>
      </c>
      <c r="AN2" t="s">
        <v>318</v>
      </c>
    </row>
    <row r="3" spans="1:45" x14ac:dyDescent="0.3">
      <c r="AF3" t="s">
        <v>285</v>
      </c>
      <c r="AG3" t="s">
        <v>288</v>
      </c>
      <c r="AH3" t="s">
        <v>290</v>
      </c>
      <c r="AI3" t="s">
        <v>294</v>
      </c>
      <c r="AJ3" s="31" t="s">
        <v>319</v>
      </c>
      <c r="AK3" t="s">
        <v>297</v>
      </c>
      <c r="AL3" t="s">
        <v>300</v>
      </c>
      <c r="AN3" t="s">
        <v>307</v>
      </c>
      <c r="AO3" t="s">
        <v>309</v>
      </c>
      <c r="AP3" t="s">
        <v>311</v>
      </c>
      <c r="AQ3" t="s">
        <v>313</v>
      </c>
      <c r="AR3" t="s">
        <v>315</v>
      </c>
      <c r="AS3" t="s">
        <v>317</v>
      </c>
    </row>
    <row r="4" spans="1:45" x14ac:dyDescent="0.3">
      <c r="C4" s="28">
        <f>SUM(C10:C24,C44,C47:C49)</f>
        <v>14555</v>
      </c>
      <c r="D4" s="28">
        <f>SUM(D10:D24,D44,D47:D49)</f>
        <v>8501.8315018314825</v>
      </c>
      <c r="AF4" t="s">
        <v>286</v>
      </c>
      <c r="AG4" t="s">
        <v>291</v>
      </c>
      <c r="AH4" t="s">
        <v>292</v>
      </c>
      <c r="AI4" t="s">
        <v>295</v>
      </c>
      <c r="AJ4">
        <v>27</v>
      </c>
      <c r="AK4" t="s">
        <v>298</v>
      </c>
    </row>
    <row r="5" spans="1:45" x14ac:dyDescent="0.3">
      <c r="AF5" t="s">
        <v>276</v>
      </c>
    </row>
    <row r="6" spans="1:45" x14ac:dyDescent="0.3">
      <c r="C6" s="54" t="s">
        <v>768</v>
      </c>
      <c r="D6" s="60" t="s">
        <v>769</v>
      </c>
      <c r="F6" s="54" t="s">
        <v>594</v>
      </c>
      <c r="S6" s="54" t="s">
        <v>598</v>
      </c>
      <c r="AF6" s="54" t="s">
        <v>591</v>
      </c>
    </row>
    <row r="7" spans="1:45" x14ac:dyDescent="0.3">
      <c r="C7" s="28" t="s">
        <v>199</v>
      </c>
      <c r="D7" s="60" t="s">
        <v>199</v>
      </c>
      <c r="F7" t="s">
        <v>206</v>
      </c>
      <c r="S7" t="s">
        <v>206</v>
      </c>
    </row>
    <row r="8" spans="1:45" x14ac:dyDescent="0.3">
      <c r="C8" s="28" t="s">
        <v>165</v>
      </c>
      <c r="D8" s="68" t="s">
        <v>48</v>
      </c>
      <c r="F8" t="s">
        <v>194</v>
      </c>
      <c r="G8" t="s">
        <v>195</v>
      </c>
      <c r="H8" t="s">
        <v>197</v>
      </c>
      <c r="I8" t="s">
        <v>198</v>
      </c>
      <c r="J8" t="s">
        <v>200</v>
      </c>
      <c r="K8" t="s">
        <v>201</v>
      </c>
      <c r="L8" t="s">
        <v>202</v>
      </c>
      <c r="M8" t="s">
        <v>203</v>
      </c>
      <c r="N8" t="s">
        <v>204</v>
      </c>
      <c r="O8" t="s">
        <v>205</v>
      </c>
      <c r="S8" t="s">
        <v>168</v>
      </c>
      <c r="T8" t="s">
        <v>169</v>
      </c>
      <c r="U8" t="s">
        <v>170</v>
      </c>
      <c r="V8" t="s">
        <v>166</v>
      </c>
      <c r="W8" t="s">
        <v>171</v>
      </c>
      <c r="X8" t="s">
        <v>172</v>
      </c>
      <c r="Y8" t="s">
        <v>167</v>
      </c>
      <c r="Z8" t="s">
        <v>173</v>
      </c>
      <c r="AA8" t="s">
        <v>174</v>
      </c>
      <c r="AB8" t="s">
        <v>175</v>
      </c>
      <c r="AC8" t="s">
        <v>176</v>
      </c>
      <c r="AF8" t="s">
        <v>277</v>
      </c>
      <c r="AG8" t="s">
        <v>278</v>
      </c>
      <c r="AH8" t="s">
        <v>279</v>
      </c>
      <c r="AI8" t="s">
        <v>280</v>
      </c>
      <c r="AJ8" t="s">
        <v>281</v>
      </c>
      <c r="AK8" t="s">
        <v>282</v>
      </c>
      <c r="AL8" t="s">
        <v>283</v>
      </c>
      <c r="AN8" t="s">
        <v>301</v>
      </c>
      <c r="AO8" t="s">
        <v>303</v>
      </c>
      <c r="AP8" t="s">
        <v>254</v>
      </c>
      <c r="AQ8" t="s">
        <v>305</v>
      </c>
      <c r="AR8" t="s">
        <v>304</v>
      </c>
      <c r="AS8" t="s">
        <v>302</v>
      </c>
    </row>
    <row r="9" spans="1:45" x14ac:dyDescent="0.3">
      <c r="C9" s="33"/>
    </row>
    <row r="10" spans="1:45" s="19" customFormat="1" x14ac:dyDescent="0.3">
      <c r="A10" s="19" t="s">
        <v>57</v>
      </c>
      <c r="C10" s="35">
        <v>2405</v>
      </c>
      <c r="D10" s="69">
        <v>1494.5054945054901</v>
      </c>
      <c r="F10" s="19">
        <v>1015</v>
      </c>
      <c r="G10" s="19">
        <v>987</v>
      </c>
      <c r="H10" s="19">
        <v>391.7</v>
      </c>
      <c r="I10" s="19">
        <v>3664</v>
      </c>
      <c r="J10" s="19">
        <v>2048</v>
      </c>
      <c r="K10" s="19">
        <v>1250</v>
      </c>
      <c r="L10" s="19">
        <v>31</v>
      </c>
      <c r="M10" s="19">
        <v>511</v>
      </c>
      <c r="N10" s="19">
        <v>952.7</v>
      </c>
      <c r="O10" s="19">
        <v>951.6</v>
      </c>
      <c r="R10" s="19" t="s">
        <v>182</v>
      </c>
      <c r="S10" s="19">
        <v>2200</v>
      </c>
      <c r="T10" s="19">
        <v>290</v>
      </c>
      <c r="U10" s="19">
        <v>2800</v>
      </c>
      <c r="V10" s="19">
        <v>680</v>
      </c>
      <c r="W10" s="19">
        <v>780</v>
      </c>
      <c r="X10" s="19">
        <v>18000</v>
      </c>
      <c r="Y10" s="19">
        <v>23000</v>
      </c>
      <c r="Z10" s="19">
        <v>11000</v>
      </c>
      <c r="AA10" s="19">
        <v>6200</v>
      </c>
      <c r="AB10" s="19">
        <v>2.2999999999999998</v>
      </c>
      <c r="AC10" s="19">
        <v>2</v>
      </c>
      <c r="AF10" s="19">
        <v>230</v>
      </c>
      <c r="AG10" s="19">
        <v>2026</v>
      </c>
      <c r="AH10" s="19">
        <v>1944</v>
      </c>
      <c r="AI10" s="19">
        <v>2900</v>
      </c>
      <c r="AJ10" s="19">
        <v>616</v>
      </c>
      <c r="AK10" s="19">
        <v>377</v>
      </c>
      <c r="AL10" s="19">
        <v>0</v>
      </c>
      <c r="AN10" s="19">
        <v>8085</v>
      </c>
      <c r="AO10" s="19">
        <v>3614</v>
      </c>
      <c r="AP10" s="19">
        <v>1624</v>
      </c>
      <c r="AQ10" s="19">
        <v>2010</v>
      </c>
      <c r="AR10" s="19">
        <v>1231</v>
      </c>
      <c r="AS10" s="19">
        <v>0.78</v>
      </c>
    </row>
    <row r="11" spans="1:45" s="19" customFormat="1" x14ac:dyDescent="0.3">
      <c r="A11" s="19" t="s">
        <v>58</v>
      </c>
      <c r="C11" s="35">
        <v>3335</v>
      </c>
      <c r="D11" s="69">
        <v>1890.1098901098901</v>
      </c>
      <c r="F11" s="19">
        <v>1800</v>
      </c>
      <c r="G11" s="19">
        <v>1769</v>
      </c>
      <c r="H11" s="19">
        <v>1123.3</v>
      </c>
      <c r="I11" s="19">
        <v>6927</v>
      </c>
      <c r="J11" s="19">
        <v>4790</v>
      </c>
      <c r="K11" s="19">
        <v>2861</v>
      </c>
      <c r="L11" s="19">
        <v>90</v>
      </c>
      <c r="M11" s="19">
        <v>1057</v>
      </c>
      <c r="N11" s="19">
        <v>1500.1</v>
      </c>
      <c r="O11" s="19">
        <v>1451.7</v>
      </c>
      <c r="R11" s="19" t="s">
        <v>179</v>
      </c>
      <c r="S11" s="19">
        <v>280</v>
      </c>
      <c r="T11" s="19">
        <v>99</v>
      </c>
      <c r="U11" s="19">
        <v>2000</v>
      </c>
      <c r="V11" s="19">
        <v>510</v>
      </c>
      <c r="W11" s="19">
        <v>1700</v>
      </c>
      <c r="X11" s="19">
        <v>21000</v>
      </c>
      <c r="Y11" s="19">
        <v>26000</v>
      </c>
      <c r="Z11" s="19">
        <v>12000</v>
      </c>
      <c r="AA11" s="19">
        <v>7200</v>
      </c>
      <c r="AB11" s="19">
        <v>22</v>
      </c>
      <c r="AC11" s="19">
        <v>14</v>
      </c>
      <c r="AF11" s="19">
        <v>734</v>
      </c>
      <c r="AG11" s="19">
        <v>2920</v>
      </c>
      <c r="AH11" s="19">
        <v>2869</v>
      </c>
      <c r="AI11" s="19">
        <v>3646</v>
      </c>
      <c r="AJ11" s="19">
        <v>1262</v>
      </c>
      <c r="AK11" s="19">
        <v>744</v>
      </c>
      <c r="AL11" s="19">
        <v>11.5</v>
      </c>
      <c r="AN11" s="19">
        <v>9497</v>
      </c>
      <c r="AO11" s="19">
        <v>6328</v>
      </c>
      <c r="AP11" s="19">
        <v>3611</v>
      </c>
      <c r="AQ11" s="19">
        <v>4325</v>
      </c>
      <c r="AR11" s="19">
        <v>1857</v>
      </c>
      <c r="AS11" s="19">
        <v>1.17</v>
      </c>
    </row>
    <row r="12" spans="1:45" s="19" customFormat="1" x14ac:dyDescent="0.3">
      <c r="A12" s="19" t="s">
        <v>59</v>
      </c>
      <c r="C12" s="35">
        <v>2445</v>
      </c>
      <c r="D12" s="69">
        <v>1186.81318681318</v>
      </c>
      <c r="F12" s="19">
        <v>1702</v>
      </c>
      <c r="G12" s="19">
        <v>1734</v>
      </c>
      <c r="H12" s="19">
        <v>1542.2</v>
      </c>
      <c r="I12" s="19">
        <v>6636</v>
      </c>
      <c r="J12" s="19">
        <v>5001</v>
      </c>
      <c r="K12" s="19">
        <v>2886</v>
      </c>
      <c r="L12" s="19">
        <v>143</v>
      </c>
      <c r="M12" s="19">
        <v>1144</v>
      </c>
      <c r="N12" s="19">
        <v>1765.7</v>
      </c>
      <c r="O12" s="19">
        <v>1546.3</v>
      </c>
      <c r="R12" s="19" t="s">
        <v>180</v>
      </c>
      <c r="S12" s="19">
        <v>92</v>
      </c>
      <c r="T12" s="19">
        <v>37</v>
      </c>
      <c r="U12" s="19">
        <v>530</v>
      </c>
      <c r="V12" s="19">
        <v>190</v>
      </c>
      <c r="W12" s="19">
        <v>2300</v>
      </c>
      <c r="X12" s="19">
        <v>18000</v>
      </c>
      <c r="Y12" s="19">
        <v>22000</v>
      </c>
      <c r="Z12" s="19">
        <v>9800</v>
      </c>
      <c r="AA12" s="19">
        <v>5800</v>
      </c>
      <c r="AB12" s="19">
        <v>160</v>
      </c>
      <c r="AC12" s="19">
        <v>4</v>
      </c>
      <c r="AF12" s="19">
        <v>1077</v>
      </c>
      <c r="AG12" s="19">
        <v>2563</v>
      </c>
      <c r="AH12" s="19">
        <v>2151</v>
      </c>
      <c r="AI12" s="19">
        <v>2837</v>
      </c>
      <c r="AJ12" s="19">
        <v>1625</v>
      </c>
      <c r="AK12" s="19">
        <v>882</v>
      </c>
      <c r="AL12" s="19">
        <v>103</v>
      </c>
      <c r="AN12" s="19">
        <v>3562</v>
      </c>
      <c r="AO12" s="19">
        <v>6077</v>
      </c>
      <c r="AP12" s="19">
        <v>3620</v>
      </c>
      <c r="AQ12" s="19">
        <v>4450</v>
      </c>
      <c r="AR12" s="19">
        <v>1665</v>
      </c>
      <c r="AS12" s="19">
        <v>1.01</v>
      </c>
    </row>
    <row r="13" spans="1:45" s="19" customFormat="1" x14ac:dyDescent="0.3">
      <c r="A13" s="19" t="s">
        <v>60</v>
      </c>
      <c r="C13" s="35">
        <v>2031</v>
      </c>
      <c r="D13" s="69">
        <v>615.38461538461502</v>
      </c>
      <c r="F13" s="19">
        <v>815</v>
      </c>
      <c r="G13" s="19">
        <v>763</v>
      </c>
      <c r="H13" s="19">
        <v>831.2</v>
      </c>
      <c r="I13" s="19">
        <v>2805</v>
      </c>
      <c r="J13" s="19">
        <v>2385</v>
      </c>
      <c r="K13" s="19">
        <v>1422</v>
      </c>
      <c r="L13" s="19">
        <v>212</v>
      </c>
      <c r="M13" s="19">
        <v>599</v>
      </c>
      <c r="N13" s="19">
        <v>886.3</v>
      </c>
      <c r="O13" s="19">
        <v>929.5</v>
      </c>
      <c r="R13" s="19" t="s">
        <v>181</v>
      </c>
      <c r="S13" s="19">
        <v>25</v>
      </c>
      <c r="T13" s="19">
        <v>12</v>
      </c>
      <c r="U13" s="19">
        <v>81</v>
      </c>
      <c r="V13" s="19">
        <v>37</v>
      </c>
      <c r="W13" s="19">
        <v>1500</v>
      </c>
      <c r="X13" s="19">
        <v>9300</v>
      </c>
      <c r="Y13" s="19">
        <v>11000</v>
      </c>
      <c r="Z13" s="19">
        <v>5300</v>
      </c>
      <c r="AA13" s="19">
        <v>3000</v>
      </c>
      <c r="AB13" s="19">
        <v>160</v>
      </c>
      <c r="AC13" s="19">
        <v>4.3</v>
      </c>
      <c r="AF13" s="19">
        <v>621</v>
      </c>
      <c r="AG13" s="19">
        <v>1544</v>
      </c>
      <c r="AH13" s="19">
        <v>1066</v>
      </c>
      <c r="AI13" s="19">
        <v>1677</v>
      </c>
      <c r="AJ13" s="19">
        <v>1096</v>
      </c>
      <c r="AK13" s="19">
        <v>820</v>
      </c>
      <c r="AL13" s="19">
        <v>240</v>
      </c>
      <c r="AN13" s="19">
        <v>633</v>
      </c>
      <c r="AO13" s="19">
        <v>3078</v>
      </c>
      <c r="AP13" s="19">
        <v>1669</v>
      </c>
      <c r="AQ13" s="19">
        <v>2801</v>
      </c>
      <c r="AR13" s="19">
        <v>970</v>
      </c>
      <c r="AS13" s="19">
        <v>0.79</v>
      </c>
    </row>
    <row r="14" spans="1:45" s="19" customFormat="1" x14ac:dyDescent="0.3">
      <c r="A14" s="19" t="s">
        <v>63</v>
      </c>
      <c r="C14" s="35">
        <v>849</v>
      </c>
      <c r="D14" s="69">
        <v>567.76556776556697</v>
      </c>
      <c r="F14" s="19">
        <v>666</v>
      </c>
      <c r="G14" s="19">
        <v>559</v>
      </c>
      <c r="H14" s="19">
        <v>293</v>
      </c>
      <c r="I14" s="19">
        <v>1000</v>
      </c>
      <c r="J14" s="19">
        <v>4274</v>
      </c>
      <c r="K14" s="19">
        <v>1870</v>
      </c>
      <c r="L14" s="19">
        <v>86</v>
      </c>
      <c r="M14" s="19">
        <v>237</v>
      </c>
      <c r="N14" s="19">
        <v>569.79999999999995</v>
      </c>
      <c r="O14" s="19">
        <v>358.9</v>
      </c>
      <c r="R14" s="19" t="s">
        <v>183</v>
      </c>
      <c r="S14" s="19">
        <v>32</v>
      </c>
      <c r="T14" s="19">
        <v>17</v>
      </c>
      <c r="U14" s="19">
        <v>0.5</v>
      </c>
      <c r="V14" s="19">
        <v>1</v>
      </c>
      <c r="W14" s="19">
        <v>390</v>
      </c>
      <c r="X14" s="19">
        <v>5200</v>
      </c>
      <c r="Y14" s="19">
        <v>6100</v>
      </c>
      <c r="Z14" s="19">
        <v>3100</v>
      </c>
      <c r="AA14" s="19">
        <v>3800</v>
      </c>
      <c r="AB14" s="19">
        <v>29</v>
      </c>
      <c r="AC14" s="19" t="s">
        <v>178</v>
      </c>
      <c r="AF14" s="19">
        <v>77.3</v>
      </c>
      <c r="AG14" s="19">
        <v>396</v>
      </c>
      <c r="AH14" s="19">
        <v>618</v>
      </c>
      <c r="AI14" s="19">
        <v>585</v>
      </c>
      <c r="AJ14" s="19">
        <v>169</v>
      </c>
      <c r="AK14" s="19">
        <v>91.4</v>
      </c>
      <c r="AL14" s="19">
        <v>95.5</v>
      </c>
      <c r="AN14" s="19">
        <v>7.03</v>
      </c>
      <c r="AO14" s="19">
        <v>1.081</v>
      </c>
      <c r="AP14" s="19">
        <v>1762</v>
      </c>
      <c r="AQ14" s="19">
        <v>3836</v>
      </c>
      <c r="AR14" s="19">
        <v>1837</v>
      </c>
      <c r="AS14" s="19">
        <v>2.27</v>
      </c>
    </row>
    <row r="15" spans="1:45" s="19" customFormat="1" x14ac:dyDescent="0.3">
      <c r="A15" s="19" t="s">
        <v>64</v>
      </c>
      <c r="C15" s="35">
        <v>853</v>
      </c>
      <c r="D15" s="69">
        <v>578.75457875457801</v>
      </c>
      <c r="F15" s="19">
        <v>710</v>
      </c>
      <c r="G15" s="19">
        <v>642</v>
      </c>
      <c r="H15" s="19">
        <v>384.5</v>
      </c>
      <c r="I15" s="19">
        <v>617</v>
      </c>
      <c r="J15" s="19">
        <v>6974</v>
      </c>
      <c r="K15" s="19">
        <v>2910</v>
      </c>
      <c r="L15" s="19">
        <v>231</v>
      </c>
      <c r="M15" s="19">
        <v>319</v>
      </c>
      <c r="N15" s="19">
        <v>654.6</v>
      </c>
      <c r="O15" s="19">
        <v>350.6</v>
      </c>
      <c r="R15" s="19" t="s">
        <v>184</v>
      </c>
      <c r="S15" s="19">
        <v>13</v>
      </c>
      <c r="T15" s="19">
        <v>7</v>
      </c>
      <c r="U15" s="19" t="s">
        <v>178</v>
      </c>
      <c r="V15" s="19">
        <v>0.3</v>
      </c>
      <c r="W15" s="19">
        <v>470</v>
      </c>
      <c r="X15" s="19">
        <v>4000</v>
      </c>
      <c r="Y15" s="19">
        <v>3900</v>
      </c>
      <c r="Z15" s="19">
        <v>2200</v>
      </c>
      <c r="AA15" s="19">
        <v>2200</v>
      </c>
      <c r="AB15" s="19">
        <v>44</v>
      </c>
      <c r="AC15" s="19" t="s">
        <v>178</v>
      </c>
      <c r="AF15" s="19">
        <v>107</v>
      </c>
      <c r="AG15" s="19">
        <v>460</v>
      </c>
      <c r="AH15" s="19">
        <v>604</v>
      </c>
      <c r="AI15" s="19">
        <v>640</v>
      </c>
      <c r="AJ15" s="19">
        <v>280</v>
      </c>
      <c r="AK15" s="19">
        <v>137</v>
      </c>
      <c r="AL15" s="19">
        <v>214</v>
      </c>
      <c r="AN15" s="19">
        <v>8.11</v>
      </c>
      <c r="AO15" s="19">
        <v>1041</v>
      </c>
      <c r="AP15" s="19">
        <v>2547</v>
      </c>
      <c r="AQ15" s="19">
        <v>6668</v>
      </c>
      <c r="AR15" s="19">
        <v>2653</v>
      </c>
      <c r="AS15" s="19">
        <v>10</v>
      </c>
    </row>
    <row r="16" spans="1:45" s="19" customFormat="1" x14ac:dyDescent="0.3">
      <c r="A16" s="19" t="s">
        <v>65</v>
      </c>
      <c r="C16" s="35">
        <v>601</v>
      </c>
      <c r="D16" s="69">
        <v>358.97435897435798</v>
      </c>
      <c r="F16" s="19">
        <v>486</v>
      </c>
      <c r="G16" s="19">
        <v>456</v>
      </c>
      <c r="H16" s="19">
        <v>310.2</v>
      </c>
      <c r="I16" s="19">
        <v>185</v>
      </c>
      <c r="J16" s="19">
        <v>6610</v>
      </c>
      <c r="K16" s="19">
        <v>3107</v>
      </c>
      <c r="L16" s="19">
        <v>286</v>
      </c>
      <c r="M16" s="19">
        <v>283</v>
      </c>
      <c r="N16" s="19">
        <v>427.4</v>
      </c>
      <c r="O16" s="19">
        <v>264.5</v>
      </c>
      <c r="R16" s="19" t="s">
        <v>185</v>
      </c>
      <c r="S16" s="19">
        <v>2.8</v>
      </c>
      <c r="T16" s="19">
        <v>1.7</v>
      </c>
      <c r="U16" s="19" t="s">
        <v>178</v>
      </c>
      <c r="V16" s="19">
        <v>6.7000000000000004E-2</v>
      </c>
      <c r="W16" s="19">
        <v>320</v>
      </c>
      <c r="X16" s="19">
        <v>2000</v>
      </c>
      <c r="Y16" s="19">
        <v>1300</v>
      </c>
      <c r="Z16" s="19">
        <v>970</v>
      </c>
      <c r="AA16" s="19">
        <v>1400</v>
      </c>
      <c r="AB16" s="19">
        <v>67</v>
      </c>
      <c r="AC16" s="19">
        <v>6.5</v>
      </c>
      <c r="AF16" s="19">
        <v>86.5</v>
      </c>
      <c r="AG16" s="19">
        <v>371</v>
      </c>
      <c r="AH16" s="19">
        <v>343</v>
      </c>
      <c r="AI16" s="19">
        <v>543</v>
      </c>
      <c r="AJ16" s="19">
        <v>224</v>
      </c>
      <c r="AK16" s="19">
        <v>109</v>
      </c>
      <c r="AL16" s="19">
        <v>274</v>
      </c>
      <c r="AN16" s="19">
        <v>0</v>
      </c>
      <c r="AO16" s="19">
        <v>564</v>
      </c>
      <c r="AP16" s="19">
        <v>2676</v>
      </c>
      <c r="AQ16" s="19">
        <v>6444</v>
      </c>
      <c r="AR16" s="19">
        <v>2297</v>
      </c>
      <c r="AS16" s="19">
        <v>9.51</v>
      </c>
    </row>
    <row r="17" spans="1:45" s="19" customFormat="1" x14ac:dyDescent="0.3">
      <c r="A17" s="19" t="s">
        <v>66</v>
      </c>
      <c r="C17" s="35">
        <v>330</v>
      </c>
      <c r="D17" s="69">
        <v>260.07326007325997</v>
      </c>
      <c r="F17" s="19">
        <v>296</v>
      </c>
      <c r="G17" s="19">
        <v>294</v>
      </c>
      <c r="H17" s="19">
        <v>257.10000000000002</v>
      </c>
      <c r="I17" s="19">
        <v>53</v>
      </c>
      <c r="J17" s="19">
        <v>4074</v>
      </c>
      <c r="K17" s="19">
        <v>2211</v>
      </c>
      <c r="L17" s="19">
        <v>183</v>
      </c>
      <c r="M17" s="19">
        <v>179</v>
      </c>
      <c r="N17" s="19">
        <v>251.8</v>
      </c>
      <c r="O17" s="19">
        <v>196.2</v>
      </c>
      <c r="R17" s="19" t="s">
        <v>186</v>
      </c>
      <c r="S17" s="19" t="s">
        <v>178</v>
      </c>
      <c r="T17" s="19" t="s">
        <v>178</v>
      </c>
      <c r="U17" s="19" t="s">
        <v>178</v>
      </c>
      <c r="V17" s="19" t="s">
        <v>178</v>
      </c>
      <c r="W17" s="19">
        <v>130</v>
      </c>
      <c r="X17" s="19">
        <v>620</v>
      </c>
      <c r="Y17" s="19">
        <v>290</v>
      </c>
      <c r="Z17" s="19">
        <v>270</v>
      </c>
      <c r="AA17" s="19">
        <v>560</v>
      </c>
      <c r="AB17" s="19">
        <v>67</v>
      </c>
      <c r="AC17" s="19" t="s">
        <v>178</v>
      </c>
      <c r="AF17" s="19">
        <v>43.4</v>
      </c>
      <c r="AG17" s="19">
        <v>229</v>
      </c>
      <c r="AH17" s="19">
        <v>208</v>
      </c>
      <c r="AI17" s="19">
        <v>410</v>
      </c>
      <c r="AJ17" s="19">
        <v>140</v>
      </c>
      <c r="AK17" s="19">
        <v>95.6</v>
      </c>
      <c r="AL17" s="19">
        <v>198</v>
      </c>
      <c r="AN17" s="19">
        <v>0</v>
      </c>
      <c r="AO17" s="19">
        <v>203</v>
      </c>
      <c r="AP17" s="19">
        <v>1335</v>
      </c>
      <c r="AQ17" s="19">
        <v>4533</v>
      </c>
      <c r="AR17" s="19">
        <v>1672</v>
      </c>
      <c r="AS17" s="19">
        <v>5.27</v>
      </c>
    </row>
    <row r="18" spans="1:45" s="19" customFormat="1" ht="16.5" customHeight="1" x14ac:dyDescent="0.3">
      <c r="A18" s="19" t="s">
        <v>72</v>
      </c>
      <c r="C18" s="35">
        <v>384</v>
      </c>
      <c r="D18" s="69">
        <v>201.46520146520101</v>
      </c>
      <c r="F18" s="19">
        <v>328</v>
      </c>
      <c r="G18" s="19">
        <v>189</v>
      </c>
      <c r="H18" s="19">
        <v>94.6</v>
      </c>
      <c r="I18" s="19">
        <v>799</v>
      </c>
      <c r="J18" s="19">
        <v>1021</v>
      </c>
      <c r="K18" s="19">
        <v>565</v>
      </c>
      <c r="L18" s="19">
        <v>41</v>
      </c>
      <c r="M18" s="19">
        <v>39</v>
      </c>
      <c r="N18" s="19">
        <v>181.7</v>
      </c>
      <c r="O18" s="19">
        <v>108.6</v>
      </c>
      <c r="R18" s="19" t="s">
        <v>187</v>
      </c>
      <c r="S18" s="19">
        <v>30</v>
      </c>
      <c r="T18" s="19">
        <v>18</v>
      </c>
      <c r="U18" s="19">
        <v>7.1</v>
      </c>
      <c r="V18" s="19">
        <v>4.0999999999999996</v>
      </c>
      <c r="W18" s="19">
        <v>200</v>
      </c>
      <c r="X18" s="19">
        <v>1600</v>
      </c>
      <c r="Y18" s="19">
        <v>1900</v>
      </c>
      <c r="Z18" s="19">
        <v>1200</v>
      </c>
      <c r="AA18" s="19">
        <v>760</v>
      </c>
      <c r="AB18" s="19">
        <v>28</v>
      </c>
      <c r="AC18" s="19" t="s">
        <v>178</v>
      </c>
      <c r="AF18" s="19">
        <v>85.8</v>
      </c>
      <c r="AG18" s="19">
        <v>178</v>
      </c>
      <c r="AH18" s="19">
        <v>245</v>
      </c>
      <c r="AI18" s="19">
        <v>347</v>
      </c>
      <c r="AJ18" s="19">
        <v>80.5</v>
      </c>
      <c r="AK18" s="19">
        <v>38.5</v>
      </c>
      <c r="AL18" s="19">
        <v>23.7</v>
      </c>
      <c r="AN18" s="19">
        <v>55.4</v>
      </c>
      <c r="AO18" s="19">
        <v>775</v>
      </c>
      <c r="AP18" s="19">
        <v>543</v>
      </c>
      <c r="AQ18" s="19">
        <v>525</v>
      </c>
      <c r="AR18" s="19">
        <v>265</v>
      </c>
      <c r="AS18" s="19">
        <v>1.04</v>
      </c>
    </row>
    <row r="19" spans="1:45" s="19" customFormat="1" x14ac:dyDescent="0.3">
      <c r="A19" s="19" t="s">
        <v>73</v>
      </c>
      <c r="C19" s="35">
        <v>409</v>
      </c>
      <c r="D19" s="69">
        <v>271.06227106227101</v>
      </c>
      <c r="F19" s="19">
        <v>447</v>
      </c>
      <c r="G19" s="19">
        <v>289</v>
      </c>
      <c r="H19" s="19">
        <v>183.9</v>
      </c>
      <c r="I19" s="19">
        <v>756</v>
      </c>
      <c r="J19" s="19">
        <v>1809</v>
      </c>
      <c r="K19" s="19">
        <v>978</v>
      </c>
      <c r="L19" s="19">
        <v>145</v>
      </c>
      <c r="M19" s="19">
        <v>68</v>
      </c>
      <c r="N19" s="19">
        <v>291.39999999999998</v>
      </c>
      <c r="O19" s="19">
        <v>160.69999999999999</v>
      </c>
      <c r="R19" s="19" t="s">
        <v>188</v>
      </c>
      <c r="S19" s="19">
        <v>30</v>
      </c>
      <c r="T19" s="19">
        <v>18</v>
      </c>
      <c r="U19" s="19">
        <v>4.5</v>
      </c>
      <c r="V19" s="19">
        <v>3.7</v>
      </c>
      <c r="W19" s="19">
        <v>530</v>
      </c>
      <c r="X19" s="19">
        <v>2800</v>
      </c>
      <c r="Y19" s="19">
        <v>3400</v>
      </c>
      <c r="Z19" s="19">
        <v>2200</v>
      </c>
      <c r="AA19" s="19">
        <v>1600</v>
      </c>
      <c r="AB19" s="19">
        <v>130</v>
      </c>
      <c r="AC19" s="19" t="s">
        <v>178</v>
      </c>
      <c r="AF19" s="19">
        <v>123</v>
      </c>
      <c r="AG19" s="19">
        <v>300</v>
      </c>
      <c r="AH19" s="19">
        <v>266</v>
      </c>
      <c r="AI19" s="19">
        <v>484</v>
      </c>
      <c r="AJ19" s="19">
        <v>169</v>
      </c>
      <c r="AK19" s="19">
        <v>80.5</v>
      </c>
      <c r="AL19" s="19">
        <v>77.7</v>
      </c>
      <c r="AN19" s="19">
        <v>14.9</v>
      </c>
      <c r="AO19" s="19">
        <v>992</v>
      </c>
      <c r="AP19" s="19">
        <v>785</v>
      </c>
      <c r="AQ19" s="19">
        <v>1058</v>
      </c>
      <c r="AR19" s="19">
        <v>451</v>
      </c>
      <c r="AS19" s="19">
        <v>2.13</v>
      </c>
    </row>
    <row r="20" spans="1:45" s="19" customFormat="1" x14ac:dyDescent="0.3">
      <c r="A20" s="19" t="s">
        <v>74</v>
      </c>
      <c r="C20" s="35">
        <v>368</v>
      </c>
      <c r="D20" s="69">
        <v>238.09523809523799</v>
      </c>
      <c r="F20" s="19">
        <v>379</v>
      </c>
      <c r="G20" s="19">
        <v>295</v>
      </c>
      <c r="H20" s="19">
        <v>199</v>
      </c>
      <c r="I20" s="19">
        <v>360</v>
      </c>
      <c r="J20" s="19">
        <v>1799</v>
      </c>
      <c r="K20" s="19">
        <v>936</v>
      </c>
      <c r="L20" s="19">
        <v>212</v>
      </c>
      <c r="M20" s="19">
        <v>64</v>
      </c>
      <c r="N20" s="19">
        <v>246</v>
      </c>
      <c r="O20" s="19">
        <v>140.19999999999999</v>
      </c>
      <c r="R20" s="19" t="s">
        <v>189</v>
      </c>
      <c r="S20" s="19">
        <v>9.1</v>
      </c>
      <c r="T20" s="19">
        <v>5.9</v>
      </c>
      <c r="U20" s="19" t="s">
        <v>178</v>
      </c>
      <c r="V20" s="19" t="s">
        <v>178</v>
      </c>
      <c r="W20" s="19">
        <v>410</v>
      </c>
      <c r="X20" s="19">
        <v>1700</v>
      </c>
      <c r="Y20" s="19">
        <v>1800</v>
      </c>
      <c r="Z20" s="19">
        <v>1300</v>
      </c>
      <c r="AA20" s="19">
        <v>810</v>
      </c>
      <c r="AB20" s="19">
        <v>92</v>
      </c>
      <c r="AC20" s="19" t="s">
        <v>178</v>
      </c>
      <c r="AF20" s="19">
        <v>120</v>
      </c>
      <c r="AG20" s="19">
        <v>273</v>
      </c>
      <c r="AH20" s="19">
        <v>202</v>
      </c>
      <c r="AI20" s="19">
        <v>396</v>
      </c>
      <c r="AJ20" s="19">
        <v>277</v>
      </c>
      <c r="AK20" s="19">
        <v>78.7</v>
      </c>
      <c r="AL20" s="19">
        <v>128</v>
      </c>
      <c r="AN20" s="19">
        <v>0</v>
      </c>
      <c r="AO20" s="19">
        <v>775</v>
      </c>
      <c r="AP20" s="19">
        <v>699</v>
      </c>
      <c r="AQ20" s="19">
        <v>1349</v>
      </c>
      <c r="AR20" s="19">
        <v>510</v>
      </c>
      <c r="AS20" s="19">
        <v>6.19</v>
      </c>
    </row>
    <row r="21" spans="1:45" s="19" customFormat="1" x14ac:dyDescent="0.3">
      <c r="A21" s="19" t="s">
        <v>77</v>
      </c>
      <c r="C21" s="35">
        <v>92</v>
      </c>
      <c r="D21" s="69">
        <v>95.238095238095198</v>
      </c>
      <c r="F21" s="19">
        <v>74</v>
      </c>
      <c r="G21" s="19">
        <v>62</v>
      </c>
      <c r="H21" s="19">
        <v>29.5</v>
      </c>
      <c r="I21" s="19">
        <v>0.03</v>
      </c>
      <c r="J21" s="19">
        <v>2808</v>
      </c>
      <c r="K21" s="19">
        <v>1173</v>
      </c>
      <c r="L21" s="19">
        <v>24</v>
      </c>
      <c r="M21" s="19">
        <v>11</v>
      </c>
      <c r="N21" s="19">
        <v>58.8</v>
      </c>
      <c r="O21" s="19">
        <v>22.5</v>
      </c>
      <c r="R21" s="19" t="s">
        <v>191</v>
      </c>
      <c r="S21" s="19">
        <v>0.24</v>
      </c>
      <c r="T21" s="19">
        <v>0.31</v>
      </c>
      <c r="U21" s="19" t="s">
        <v>178</v>
      </c>
      <c r="V21" s="19" t="s">
        <v>178</v>
      </c>
      <c r="W21" s="19">
        <v>11</v>
      </c>
      <c r="X21" s="19">
        <v>91</v>
      </c>
      <c r="Y21" s="19">
        <v>13</v>
      </c>
      <c r="Z21" s="19">
        <v>33</v>
      </c>
      <c r="AA21" s="19">
        <v>480</v>
      </c>
      <c r="AB21" s="19" t="s">
        <v>178</v>
      </c>
      <c r="AC21" s="19" t="s">
        <v>178</v>
      </c>
      <c r="AF21" s="19">
        <v>6.9</v>
      </c>
      <c r="AG21" s="19">
        <v>23.3</v>
      </c>
      <c r="AH21" s="19">
        <v>133</v>
      </c>
      <c r="AI21" s="19">
        <v>77.3</v>
      </c>
      <c r="AJ21" s="19">
        <v>21.9</v>
      </c>
      <c r="AK21" s="19">
        <v>19.7</v>
      </c>
      <c r="AL21" s="19">
        <v>40.299999999999997</v>
      </c>
      <c r="AN21" s="19">
        <v>0</v>
      </c>
      <c r="AO21" s="19">
        <v>5.65</v>
      </c>
      <c r="AP21" s="19">
        <v>932</v>
      </c>
      <c r="AQ21" s="19">
        <v>2955</v>
      </c>
      <c r="AR21" s="19">
        <v>1017</v>
      </c>
      <c r="AS21" s="19">
        <v>0</v>
      </c>
    </row>
    <row r="22" spans="1:45" s="19" customFormat="1" x14ac:dyDescent="0.3">
      <c r="A22" s="19" t="s">
        <v>78</v>
      </c>
      <c r="C22" s="35">
        <v>105</v>
      </c>
      <c r="D22" s="69">
        <v>128.20512820512801</v>
      </c>
      <c r="F22" s="19">
        <v>99</v>
      </c>
      <c r="G22" s="19">
        <v>100</v>
      </c>
      <c r="H22" s="19">
        <v>54.4</v>
      </c>
      <c r="I22" s="19">
        <v>0.04</v>
      </c>
      <c r="J22" s="19">
        <v>4676</v>
      </c>
      <c r="K22" s="19">
        <v>1806</v>
      </c>
      <c r="L22" s="19">
        <v>45</v>
      </c>
      <c r="M22" s="19">
        <v>22</v>
      </c>
      <c r="N22" s="19">
        <v>81.599999999999994</v>
      </c>
      <c r="O22" s="19">
        <v>32.700000000000003</v>
      </c>
      <c r="R22" s="19" t="s">
        <v>192</v>
      </c>
      <c r="S22" s="19" t="s">
        <v>178</v>
      </c>
      <c r="T22" s="19" t="s">
        <v>178</v>
      </c>
      <c r="U22" s="19" t="s">
        <v>178</v>
      </c>
      <c r="V22" s="19" t="s">
        <v>178</v>
      </c>
      <c r="W22" s="19">
        <v>26</v>
      </c>
      <c r="X22" s="19">
        <v>230</v>
      </c>
      <c r="Y22" s="19">
        <v>41</v>
      </c>
      <c r="Z22" s="19">
        <v>68</v>
      </c>
      <c r="AA22" s="19">
        <v>1600</v>
      </c>
      <c r="AB22" s="19" t="s">
        <v>178</v>
      </c>
      <c r="AC22" s="19" t="s">
        <v>178</v>
      </c>
      <c r="AF22" s="19">
        <v>6.21</v>
      </c>
      <c r="AG22" s="19">
        <v>31.1</v>
      </c>
      <c r="AH22" s="19">
        <v>135</v>
      </c>
      <c r="AI22" s="19">
        <v>119</v>
      </c>
      <c r="AJ22" s="19">
        <v>39.1</v>
      </c>
      <c r="AK22" s="19">
        <v>33</v>
      </c>
      <c r="AL22" s="19">
        <v>84.6</v>
      </c>
      <c r="AN22" s="19">
        <v>0</v>
      </c>
      <c r="AO22" s="19">
        <v>4.72</v>
      </c>
      <c r="AP22" s="19">
        <v>1195</v>
      </c>
      <c r="AQ22" s="19">
        <v>3912</v>
      </c>
      <c r="AR22" s="19">
        <v>1372</v>
      </c>
      <c r="AS22" s="19">
        <v>0</v>
      </c>
    </row>
    <row r="23" spans="1:45" s="19" customFormat="1" x14ac:dyDescent="0.3">
      <c r="A23" s="19" t="s">
        <v>79</v>
      </c>
      <c r="C23" s="35">
        <v>72</v>
      </c>
      <c r="D23" s="69">
        <v>84.249084249084206</v>
      </c>
      <c r="F23" s="19">
        <v>84</v>
      </c>
      <c r="G23" s="19">
        <v>92</v>
      </c>
      <c r="H23" s="19">
        <v>69.8</v>
      </c>
      <c r="I23" s="19">
        <v>0</v>
      </c>
      <c r="J23" s="19">
        <v>3482</v>
      </c>
      <c r="K23" s="19">
        <v>1379</v>
      </c>
      <c r="L23" s="19">
        <v>52</v>
      </c>
      <c r="M23" s="19">
        <v>22</v>
      </c>
      <c r="N23" s="19">
        <v>69.099999999999994</v>
      </c>
      <c r="O23" s="19">
        <v>31.4</v>
      </c>
      <c r="R23" s="19" t="s">
        <v>190</v>
      </c>
      <c r="S23" s="19" t="s">
        <v>178</v>
      </c>
      <c r="T23" s="19" t="s">
        <v>178</v>
      </c>
      <c r="U23" s="19" t="s">
        <v>178</v>
      </c>
      <c r="V23" s="19" t="s">
        <v>178</v>
      </c>
      <c r="W23" s="19">
        <v>2.6</v>
      </c>
      <c r="X23" s="19">
        <v>94</v>
      </c>
      <c r="Y23" s="19">
        <v>13</v>
      </c>
      <c r="Z23" s="19">
        <v>22</v>
      </c>
      <c r="AA23" s="19">
        <v>720</v>
      </c>
      <c r="AB23" s="19" t="s">
        <v>178</v>
      </c>
      <c r="AC23" s="19" t="s">
        <v>178</v>
      </c>
      <c r="AF23" s="19">
        <v>1.88</v>
      </c>
      <c r="AG23" s="19">
        <v>24</v>
      </c>
      <c r="AH23" s="19">
        <v>97.2</v>
      </c>
      <c r="AI23" s="19">
        <v>71.8</v>
      </c>
      <c r="AJ23" s="19">
        <v>33.9</v>
      </c>
      <c r="AK23" s="19">
        <v>24.4</v>
      </c>
      <c r="AL23" s="19">
        <v>75.900000000000006</v>
      </c>
      <c r="AN23" s="19">
        <v>0</v>
      </c>
      <c r="AO23" s="19">
        <v>0</v>
      </c>
      <c r="AP23" s="19">
        <v>765</v>
      </c>
      <c r="AQ23" s="19">
        <v>3003</v>
      </c>
      <c r="AR23" s="19">
        <v>1097</v>
      </c>
      <c r="AS23" s="19">
        <v>0</v>
      </c>
    </row>
    <row r="24" spans="1:45" s="19" customFormat="1" x14ac:dyDescent="0.3">
      <c r="A24" s="19" t="s">
        <v>80</v>
      </c>
      <c r="C24" s="35">
        <v>36</v>
      </c>
      <c r="D24" s="69">
        <v>65.934065934065899</v>
      </c>
    </row>
    <row r="26" spans="1:45" x14ac:dyDescent="0.3">
      <c r="C26" s="54" t="s">
        <v>592</v>
      </c>
      <c r="D26" s="60" t="s">
        <v>593</v>
      </c>
      <c r="E26" s="54"/>
      <c r="F26" s="54" t="s">
        <v>594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 t="s">
        <v>598</v>
      </c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 t="s">
        <v>591</v>
      </c>
    </row>
    <row r="27" spans="1:45" x14ac:dyDescent="0.3">
      <c r="C27" s="28" t="s">
        <v>48</v>
      </c>
      <c r="D27" s="68" t="s">
        <v>48</v>
      </c>
      <c r="E27" s="54"/>
      <c r="F27" s="54" t="s">
        <v>193</v>
      </c>
      <c r="G27" s="54" t="s">
        <v>195</v>
      </c>
      <c r="H27" s="54" t="s">
        <v>196</v>
      </c>
      <c r="I27" s="54" t="s">
        <v>198</v>
      </c>
      <c r="J27" s="54" t="s">
        <v>200</v>
      </c>
      <c r="K27" s="54" t="s">
        <v>201</v>
      </c>
      <c r="L27" s="54" t="s">
        <v>202</v>
      </c>
      <c r="M27" s="54" t="s">
        <v>203</v>
      </c>
      <c r="N27" s="54" t="s">
        <v>204</v>
      </c>
      <c r="O27" s="54" t="s">
        <v>205</v>
      </c>
      <c r="P27" s="54"/>
      <c r="Q27" s="54"/>
      <c r="R27" s="54"/>
      <c r="S27" s="54" t="s">
        <v>168</v>
      </c>
      <c r="T27" s="54" t="s">
        <v>169</v>
      </c>
      <c r="U27" s="54" t="s">
        <v>170</v>
      </c>
      <c r="V27" s="54" t="s">
        <v>166</v>
      </c>
      <c r="W27" s="54" t="s">
        <v>171</v>
      </c>
      <c r="X27" s="54" t="s">
        <v>172</v>
      </c>
      <c r="Y27" s="54" t="s">
        <v>167</v>
      </c>
      <c r="Z27" s="54" t="s">
        <v>173</v>
      </c>
      <c r="AA27" s="54" t="s">
        <v>174</v>
      </c>
      <c r="AB27" s="54" t="s">
        <v>175</v>
      </c>
      <c r="AC27" s="54" t="s">
        <v>176</v>
      </c>
      <c r="AD27" s="54"/>
      <c r="AE27" s="54"/>
      <c r="AF27" s="54" t="s">
        <v>285</v>
      </c>
      <c r="AG27" s="54" t="s">
        <v>288</v>
      </c>
      <c r="AH27" s="54" t="s">
        <v>290</v>
      </c>
      <c r="AI27" s="54" t="s">
        <v>294</v>
      </c>
      <c r="AJ27" s="54" t="s">
        <v>319</v>
      </c>
      <c r="AK27" s="54" t="s">
        <v>297</v>
      </c>
      <c r="AL27" s="54" t="s">
        <v>300</v>
      </c>
      <c r="AM27" s="54"/>
      <c r="AN27" s="54" t="s">
        <v>307</v>
      </c>
      <c r="AO27" s="54" t="s">
        <v>309</v>
      </c>
      <c r="AP27" s="54" t="s">
        <v>311</v>
      </c>
      <c r="AQ27" s="54" t="s">
        <v>313</v>
      </c>
      <c r="AR27" s="54" t="s">
        <v>315</v>
      </c>
      <c r="AS27" s="54" t="s">
        <v>317</v>
      </c>
    </row>
    <row r="28" spans="1:45" s="10" customFormat="1" x14ac:dyDescent="0.3">
      <c r="A28" s="10" t="s">
        <v>55</v>
      </c>
      <c r="B28" s="10" t="s">
        <v>54</v>
      </c>
      <c r="C28" s="34">
        <v>712</v>
      </c>
      <c r="D28" s="70">
        <v>681.318681318681</v>
      </c>
      <c r="F28" s="10">
        <v>261</v>
      </c>
      <c r="G28" s="10">
        <v>245</v>
      </c>
      <c r="H28" s="10">
        <v>50.3</v>
      </c>
      <c r="I28" s="10">
        <v>820</v>
      </c>
      <c r="J28" s="10">
        <v>236</v>
      </c>
      <c r="K28" s="10">
        <v>140</v>
      </c>
      <c r="L28" s="10">
        <v>5</v>
      </c>
      <c r="M28" s="10">
        <v>111</v>
      </c>
      <c r="N28" s="10">
        <v>248.6</v>
      </c>
      <c r="O28" s="10">
        <v>292.60000000000002</v>
      </c>
      <c r="R28" s="10" t="s">
        <v>55</v>
      </c>
      <c r="S28" s="10">
        <v>2800</v>
      </c>
      <c r="T28" s="10">
        <v>490</v>
      </c>
      <c r="U28" s="10">
        <v>750</v>
      </c>
      <c r="V28" s="10">
        <v>250</v>
      </c>
      <c r="W28" s="10">
        <v>120</v>
      </c>
      <c r="X28" s="10">
        <v>2600</v>
      </c>
      <c r="Y28" s="10">
        <v>4300</v>
      </c>
      <c r="Z28" s="10">
        <v>1900</v>
      </c>
      <c r="AA28" s="10">
        <v>1100</v>
      </c>
      <c r="AB28" s="10">
        <v>0.43</v>
      </c>
      <c r="AC28" s="10">
        <v>0.43</v>
      </c>
      <c r="AF28" s="10">
        <v>30.3</v>
      </c>
      <c r="AG28" s="10">
        <v>806</v>
      </c>
      <c r="AH28" s="10">
        <v>579</v>
      </c>
      <c r="AI28" s="10">
        <v>967</v>
      </c>
      <c r="AJ28" s="10">
        <v>140</v>
      </c>
      <c r="AK28" s="10">
        <v>85.8</v>
      </c>
      <c r="AL28" s="10">
        <v>0</v>
      </c>
      <c r="AN28" s="10">
        <v>2497</v>
      </c>
      <c r="AO28" s="10">
        <v>933</v>
      </c>
      <c r="AP28" s="10">
        <v>182</v>
      </c>
      <c r="AQ28" s="10">
        <v>281</v>
      </c>
      <c r="AR28" s="10">
        <v>342</v>
      </c>
      <c r="AS28" s="10">
        <v>0.39</v>
      </c>
    </row>
    <row r="29" spans="1:45" s="10" customFormat="1" x14ac:dyDescent="0.3">
      <c r="A29" s="10" t="s">
        <v>62</v>
      </c>
      <c r="B29" s="10" t="s">
        <v>61</v>
      </c>
      <c r="C29" s="34">
        <v>297</v>
      </c>
      <c r="D29" s="70">
        <v>249.084249084248</v>
      </c>
      <c r="F29" s="10">
        <v>209</v>
      </c>
      <c r="G29" s="10">
        <v>141</v>
      </c>
      <c r="H29" s="10">
        <v>51.2</v>
      </c>
      <c r="I29" s="10">
        <v>437</v>
      </c>
      <c r="J29" s="10">
        <v>848</v>
      </c>
      <c r="K29" s="10">
        <v>422</v>
      </c>
      <c r="L29" s="10">
        <v>28</v>
      </c>
      <c r="M29" s="10">
        <v>60</v>
      </c>
      <c r="N29" s="10">
        <v>134.4</v>
      </c>
      <c r="O29" s="10">
        <v>125.2</v>
      </c>
      <c r="R29" s="21" t="s">
        <v>62</v>
      </c>
      <c r="S29" s="10">
        <v>16</v>
      </c>
      <c r="T29" s="10">
        <v>8.6999999999999993</v>
      </c>
      <c r="U29" s="10">
        <v>0.82</v>
      </c>
      <c r="V29" s="10">
        <v>0.91</v>
      </c>
      <c r="W29" s="10">
        <v>91</v>
      </c>
      <c r="X29" s="10">
        <v>1700</v>
      </c>
      <c r="Y29" s="10">
        <v>2300</v>
      </c>
      <c r="Z29" s="10">
        <v>1100</v>
      </c>
      <c r="AA29" s="10">
        <v>2500</v>
      </c>
      <c r="AB29" s="10">
        <v>1.4</v>
      </c>
      <c r="AC29" s="10">
        <v>2.1000000000000001E-2</v>
      </c>
      <c r="AF29" s="10">
        <v>36.299999999999997</v>
      </c>
      <c r="AG29" s="10">
        <v>145</v>
      </c>
      <c r="AH29" s="10">
        <v>296</v>
      </c>
      <c r="AI29" s="10">
        <v>269</v>
      </c>
      <c r="AJ29" s="10">
        <v>55.8</v>
      </c>
      <c r="AK29" s="10">
        <v>27.3</v>
      </c>
      <c r="AL29" s="10">
        <v>10.1</v>
      </c>
      <c r="AN29" s="10">
        <v>9.6300000000000008</v>
      </c>
      <c r="AO29" s="10">
        <v>359</v>
      </c>
      <c r="AP29" s="10">
        <v>498</v>
      </c>
      <c r="AQ29" s="10">
        <v>811</v>
      </c>
      <c r="AR29" s="10">
        <v>445</v>
      </c>
      <c r="AS29" s="10">
        <v>0.22</v>
      </c>
    </row>
    <row r="30" spans="1:45" s="10" customFormat="1" x14ac:dyDescent="0.3">
      <c r="A30" s="21" t="s">
        <v>71</v>
      </c>
      <c r="B30" s="10" t="s">
        <v>70</v>
      </c>
      <c r="C30" s="34">
        <v>123</v>
      </c>
      <c r="D30" s="70">
        <v>87.912087912087898</v>
      </c>
      <c r="F30" s="10">
        <v>142</v>
      </c>
      <c r="G30" s="10">
        <v>81</v>
      </c>
      <c r="H30" s="10">
        <v>35.200000000000003</v>
      </c>
      <c r="I30" s="10">
        <v>567</v>
      </c>
      <c r="J30" s="10">
        <v>357</v>
      </c>
      <c r="K30" s="10">
        <v>224</v>
      </c>
      <c r="L30" s="10">
        <v>12</v>
      </c>
      <c r="M30" s="10">
        <v>13</v>
      </c>
      <c r="N30" s="10">
        <v>67.3</v>
      </c>
      <c r="O30" s="10">
        <v>48.9</v>
      </c>
      <c r="R30" s="10" t="s">
        <v>71</v>
      </c>
      <c r="S30" s="10">
        <v>14</v>
      </c>
      <c r="T30" s="10">
        <v>7.7</v>
      </c>
      <c r="U30" s="10">
        <v>22</v>
      </c>
      <c r="V30" s="10">
        <v>8</v>
      </c>
      <c r="W30" s="10">
        <v>44</v>
      </c>
      <c r="X30" s="10">
        <v>610</v>
      </c>
      <c r="Y30" s="10">
        <v>730</v>
      </c>
      <c r="Z30" s="10">
        <v>450</v>
      </c>
      <c r="AA30" s="10">
        <v>280</v>
      </c>
      <c r="AB30" s="10">
        <v>2.9</v>
      </c>
      <c r="AC30" s="10">
        <v>0.02</v>
      </c>
      <c r="AF30" s="10">
        <v>28.7</v>
      </c>
      <c r="AG30" s="10">
        <v>58.9</v>
      </c>
      <c r="AH30" s="10">
        <v>106</v>
      </c>
      <c r="AI30" s="10">
        <v>161</v>
      </c>
      <c r="AJ30" s="10">
        <v>29.2</v>
      </c>
      <c r="AK30" s="10">
        <v>10.199999999999999</v>
      </c>
      <c r="AL30" s="10">
        <v>1.55</v>
      </c>
      <c r="AN30" s="10">
        <v>160</v>
      </c>
      <c r="AO30" s="10">
        <v>316</v>
      </c>
      <c r="AP30" s="10">
        <v>221</v>
      </c>
      <c r="AQ30" s="10">
        <v>160</v>
      </c>
      <c r="AR30" s="10">
        <v>104</v>
      </c>
      <c r="AS30" s="10">
        <v>0.65</v>
      </c>
    </row>
    <row r="31" spans="1:45" s="10" customFormat="1" x14ac:dyDescent="0.3">
      <c r="A31" s="21" t="s">
        <v>76</v>
      </c>
      <c r="B31" s="10" t="s">
        <v>75</v>
      </c>
      <c r="C31" s="34">
        <v>49</v>
      </c>
      <c r="D31" s="70">
        <v>47.619047619047599</v>
      </c>
      <c r="F31" s="10">
        <v>48</v>
      </c>
      <c r="G31" s="10">
        <v>29</v>
      </c>
      <c r="H31" s="10">
        <v>13</v>
      </c>
      <c r="I31" s="10">
        <v>0.02</v>
      </c>
      <c r="J31" s="10">
        <v>920</v>
      </c>
      <c r="K31" s="10">
        <v>376</v>
      </c>
      <c r="L31" s="10">
        <v>10</v>
      </c>
      <c r="M31" s="10">
        <v>5</v>
      </c>
      <c r="N31" s="10">
        <v>23</v>
      </c>
      <c r="O31" s="10">
        <v>13.5</v>
      </c>
      <c r="R31" s="10" t="s">
        <v>76</v>
      </c>
      <c r="S31" s="10">
        <v>0.36</v>
      </c>
      <c r="T31" s="10">
        <v>0.36</v>
      </c>
      <c r="U31" s="10">
        <v>0.36</v>
      </c>
      <c r="V31" s="10">
        <v>0.36</v>
      </c>
      <c r="W31" s="10">
        <v>1</v>
      </c>
      <c r="X31" s="10">
        <v>16</v>
      </c>
      <c r="Y31" s="10">
        <v>2.9</v>
      </c>
      <c r="Z31" s="10">
        <v>4.0999999999999996</v>
      </c>
      <c r="AA31" s="10">
        <v>57</v>
      </c>
      <c r="AB31" s="10">
        <v>0.36</v>
      </c>
      <c r="AC31" s="10">
        <v>0.36</v>
      </c>
      <c r="AF31" s="10">
        <v>2.88</v>
      </c>
      <c r="AG31" s="10">
        <v>8.07</v>
      </c>
      <c r="AH31" s="10">
        <v>55.7</v>
      </c>
      <c r="AI31" s="10">
        <v>40.299999999999997</v>
      </c>
      <c r="AJ31" s="10">
        <v>10.3</v>
      </c>
      <c r="AK31" s="10">
        <v>10.5</v>
      </c>
      <c r="AL31" s="10">
        <v>15.9</v>
      </c>
      <c r="AN31" s="10">
        <v>0</v>
      </c>
      <c r="AO31" s="10">
        <v>2.58</v>
      </c>
      <c r="AP31" s="10">
        <v>290</v>
      </c>
      <c r="AQ31" s="10">
        <v>690</v>
      </c>
      <c r="AR31" s="10">
        <v>277</v>
      </c>
      <c r="AS31" s="10">
        <v>0.13</v>
      </c>
    </row>
    <row r="32" spans="1:45" s="10" customFormat="1" x14ac:dyDescent="0.3">
      <c r="A32" s="10" t="s">
        <v>83</v>
      </c>
      <c r="B32" s="10" t="s">
        <v>82</v>
      </c>
      <c r="C32" s="34">
        <v>5.2</v>
      </c>
      <c r="D32" s="70">
        <v>10.9890109890107</v>
      </c>
      <c r="F32" s="10">
        <v>12.03</v>
      </c>
      <c r="G32" s="10">
        <v>7.61</v>
      </c>
      <c r="H32" s="10">
        <v>7.83</v>
      </c>
      <c r="I32" s="10">
        <v>34.869999999999997</v>
      </c>
      <c r="J32" s="10">
        <v>33.69</v>
      </c>
      <c r="K32" s="10">
        <v>19.739999999999998</v>
      </c>
      <c r="L32" s="10">
        <v>0.71</v>
      </c>
      <c r="M32" s="10">
        <v>6.72</v>
      </c>
      <c r="N32" s="10">
        <v>8.15</v>
      </c>
      <c r="O32" s="10">
        <v>11.08</v>
      </c>
      <c r="R32" s="10" t="s">
        <v>83</v>
      </c>
      <c r="S32" s="10">
        <v>1.6E-2</v>
      </c>
      <c r="T32" s="10">
        <v>1.6E-2</v>
      </c>
      <c r="U32" s="10">
        <v>1.6E-2</v>
      </c>
      <c r="V32" s="10">
        <v>1.6E-2</v>
      </c>
      <c r="W32" s="10">
        <v>1.6E-2</v>
      </c>
      <c r="X32" s="10">
        <v>1.6E-2</v>
      </c>
      <c r="Y32" s="10">
        <v>1.6E-2</v>
      </c>
      <c r="Z32" s="10">
        <v>1.6E-2</v>
      </c>
      <c r="AA32" s="10">
        <v>1.6E-2</v>
      </c>
      <c r="AB32" s="10">
        <v>1.6E-2</v>
      </c>
      <c r="AC32" s="10">
        <v>1.6E-2</v>
      </c>
      <c r="AF32" s="10">
        <v>3.91</v>
      </c>
      <c r="AG32" s="10">
        <v>15.9</v>
      </c>
      <c r="AH32" s="10">
        <v>12.5</v>
      </c>
      <c r="AI32" s="10">
        <v>16.399999999999999</v>
      </c>
      <c r="AJ32" s="10">
        <v>7.65</v>
      </c>
      <c r="AK32" s="10">
        <v>8.56</v>
      </c>
      <c r="AL32" s="10">
        <v>0</v>
      </c>
      <c r="AN32" s="10">
        <v>44.9</v>
      </c>
      <c r="AO32" s="10">
        <v>40.1</v>
      </c>
      <c r="AP32" s="10">
        <v>21.5</v>
      </c>
      <c r="AQ32" s="10">
        <v>30</v>
      </c>
      <c r="AR32" s="10">
        <v>12.3</v>
      </c>
      <c r="AS32" s="10">
        <v>0</v>
      </c>
    </row>
    <row r="33" spans="1:45" s="10" customFormat="1" x14ac:dyDescent="0.3">
      <c r="A33" s="10" t="s">
        <v>85</v>
      </c>
      <c r="B33" s="10" t="s">
        <v>84</v>
      </c>
      <c r="C33" s="34">
        <v>58</v>
      </c>
      <c r="D33" s="70">
        <v>7.3260073260073</v>
      </c>
      <c r="F33" s="10">
        <v>13.03</v>
      </c>
      <c r="G33" s="10">
        <v>15.95</v>
      </c>
      <c r="H33" s="10">
        <v>2.86</v>
      </c>
      <c r="I33" s="10">
        <v>153.55000000000001</v>
      </c>
      <c r="J33" s="10">
        <v>167.5</v>
      </c>
      <c r="K33" s="10">
        <v>92.54</v>
      </c>
      <c r="L33" s="10">
        <v>6.9</v>
      </c>
      <c r="M33" s="10">
        <v>7.7</v>
      </c>
      <c r="N33" s="10">
        <v>17.899999999999999</v>
      </c>
      <c r="O33" s="10">
        <v>8.84</v>
      </c>
      <c r="R33" s="10" t="s">
        <v>85</v>
      </c>
      <c r="S33" s="10">
        <v>4.4000000000000004</v>
      </c>
      <c r="T33" s="10">
        <v>1.8</v>
      </c>
      <c r="U33" s="10">
        <v>0.02</v>
      </c>
      <c r="V33" s="10">
        <v>0.61</v>
      </c>
      <c r="W33" s="10">
        <v>32</v>
      </c>
      <c r="X33" s="10">
        <v>430</v>
      </c>
      <c r="Y33" s="10">
        <v>570</v>
      </c>
      <c r="Z33" s="10">
        <v>270</v>
      </c>
      <c r="AA33" s="10">
        <v>180</v>
      </c>
      <c r="AB33" s="10">
        <v>1.9</v>
      </c>
      <c r="AC33" s="10">
        <v>0.02</v>
      </c>
      <c r="AF33" s="10">
        <v>24.2</v>
      </c>
      <c r="AG33" s="10">
        <v>13.6</v>
      </c>
      <c r="AH33" s="10">
        <v>18.600000000000001</v>
      </c>
      <c r="AI33" s="10">
        <v>53.7</v>
      </c>
      <c r="AJ33" s="10">
        <v>4.42</v>
      </c>
      <c r="AK33" s="10">
        <v>6.01</v>
      </c>
      <c r="AL33" s="10">
        <v>2.94</v>
      </c>
      <c r="AN33" s="10">
        <v>74.8</v>
      </c>
      <c r="AO33" s="10">
        <v>84.4</v>
      </c>
      <c r="AP33" s="10">
        <v>76.400000000000006</v>
      </c>
      <c r="AQ33" s="10">
        <v>109</v>
      </c>
      <c r="AR33" s="10">
        <v>48.4</v>
      </c>
      <c r="AS33" s="10">
        <v>0</v>
      </c>
    </row>
    <row r="34" spans="1:45" s="10" customFormat="1" x14ac:dyDescent="0.3">
      <c r="A34" s="10" t="s">
        <v>87</v>
      </c>
      <c r="B34" s="10" t="s">
        <v>86</v>
      </c>
      <c r="C34" s="34">
        <v>5.4</v>
      </c>
      <c r="D34" s="70">
        <v>10.9890109890107</v>
      </c>
      <c r="F34" s="10">
        <v>2.88</v>
      </c>
      <c r="G34" s="10">
        <v>2.09</v>
      </c>
      <c r="H34" s="10">
        <v>0.99</v>
      </c>
      <c r="I34" s="10">
        <v>13.08</v>
      </c>
      <c r="J34" s="10">
        <v>217.67</v>
      </c>
      <c r="K34" s="10">
        <v>95.99</v>
      </c>
      <c r="L34" s="10">
        <v>2.97</v>
      </c>
      <c r="M34" s="10">
        <v>2.2000000000000002</v>
      </c>
      <c r="N34" s="10">
        <v>2.4700000000000002</v>
      </c>
      <c r="O34" s="10">
        <v>1</v>
      </c>
      <c r="R34" s="10" t="s">
        <v>87</v>
      </c>
      <c r="S34" s="10">
        <v>1.8</v>
      </c>
      <c r="T34" s="10">
        <v>1.3</v>
      </c>
      <c r="U34" s="10">
        <v>2.3E-2</v>
      </c>
      <c r="V34" s="10">
        <v>2.3E-2</v>
      </c>
      <c r="W34" s="10">
        <v>7.4</v>
      </c>
      <c r="X34" s="10">
        <v>180</v>
      </c>
      <c r="Y34" s="10">
        <v>240</v>
      </c>
      <c r="Z34" s="10">
        <v>120</v>
      </c>
      <c r="AA34" s="10">
        <v>240</v>
      </c>
      <c r="AB34" s="10">
        <v>1.2</v>
      </c>
      <c r="AC34" s="10">
        <v>2.3E-2</v>
      </c>
      <c r="AF34" s="10">
        <v>1.57</v>
      </c>
      <c r="AG34" s="10">
        <v>3.64</v>
      </c>
      <c r="AH34" s="10">
        <v>10.6</v>
      </c>
      <c r="AI34" s="10">
        <v>2.96</v>
      </c>
      <c r="AJ34" s="10">
        <v>1.75</v>
      </c>
      <c r="AK34" s="10">
        <v>0.6</v>
      </c>
      <c r="AL34" s="10">
        <v>0</v>
      </c>
      <c r="AN34" s="10">
        <v>0.15</v>
      </c>
      <c r="AO34" s="10">
        <v>0</v>
      </c>
      <c r="AP34" s="10">
        <v>45.2</v>
      </c>
      <c r="AQ34" s="10">
        <v>136</v>
      </c>
      <c r="AR34" s="10">
        <v>63.1</v>
      </c>
      <c r="AS34" s="10">
        <v>0.03</v>
      </c>
    </row>
    <row r="35" spans="1:45" s="10" customFormat="1" x14ac:dyDescent="0.3">
      <c r="A35" s="10" t="s">
        <v>89</v>
      </c>
      <c r="B35" s="10" t="s">
        <v>88</v>
      </c>
      <c r="C35" s="34">
        <v>6.2</v>
      </c>
      <c r="D35" s="70">
        <v>7.3260073260073</v>
      </c>
      <c r="F35" s="10">
        <v>2.88</v>
      </c>
      <c r="G35" s="10">
        <v>2.4500000000000002</v>
      </c>
      <c r="H35" s="10">
        <v>0.27</v>
      </c>
      <c r="I35" s="10">
        <v>6.6</v>
      </c>
      <c r="J35" s="10">
        <v>80.430000000000007</v>
      </c>
      <c r="K35" s="10">
        <v>41.09</v>
      </c>
      <c r="L35" s="10">
        <v>1.78</v>
      </c>
      <c r="M35" s="10">
        <v>1.22</v>
      </c>
      <c r="N35" s="10">
        <v>3.7</v>
      </c>
      <c r="O35" s="10">
        <v>2.12</v>
      </c>
      <c r="R35" s="10" t="s">
        <v>89</v>
      </c>
      <c r="S35" s="10">
        <v>1.4</v>
      </c>
      <c r="T35" s="10">
        <v>0.68</v>
      </c>
      <c r="U35" s="10">
        <v>9.9000000000000005E-2</v>
      </c>
      <c r="V35" s="10">
        <v>9.9000000000000005E-2</v>
      </c>
      <c r="W35" s="10">
        <v>3.3</v>
      </c>
      <c r="X35" s="10">
        <v>52</v>
      </c>
      <c r="Y35" s="10">
        <v>39</v>
      </c>
      <c r="Z35" s="10">
        <v>24</v>
      </c>
      <c r="AA35" s="10">
        <v>52</v>
      </c>
      <c r="AB35" s="10">
        <v>9.9000000000000005E-2</v>
      </c>
      <c r="AC35" s="10">
        <v>9.9000000000000005E-2</v>
      </c>
      <c r="AF35" s="10">
        <v>2.93</v>
      </c>
      <c r="AG35" s="10">
        <v>3.27</v>
      </c>
      <c r="AH35" s="10">
        <v>4.93</v>
      </c>
      <c r="AI35" s="10">
        <v>12.6</v>
      </c>
      <c r="AJ35" s="10">
        <v>1.89</v>
      </c>
      <c r="AK35" s="10">
        <v>1.57</v>
      </c>
      <c r="AL35" s="10">
        <v>3.02</v>
      </c>
      <c r="AN35" s="10">
        <v>0.1</v>
      </c>
      <c r="AO35" s="10">
        <v>7.05</v>
      </c>
      <c r="AP35" s="10">
        <v>30.5</v>
      </c>
      <c r="AQ35" s="10">
        <v>62.8</v>
      </c>
      <c r="AR35" s="10">
        <v>33.799999999999997</v>
      </c>
      <c r="AS35" s="10">
        <v>0</v>
      </c>
    </row>
    <row r="36" spans="1:45" s="10" customFormat="1" x14ac:dyDescent="0.3">
      <c r="A36" s="10" t="s">
        <v>91</v>
      </c>
      <c r="B36" s="10" t="s">
        <v>90</v>
      </c>
      <c r="C36" s="34">
        <v>17</v>
      </c>
      <c r="D36" s="70">
        <v>18.3150183150182</v>
      </c>
      <c r="F36" s="10">
        <v>8.4</v>
      </c>
      <c r="G36" s="10">
        <v>18.28</v>
      </c>
      <c r="H36" s="10">
        <v>4.0999999999999996</v>
      </c>
      <c r="I36" s="10">
        <v>30.88</v>
      </c>
      <c r="J36" s="10">
        <v>552.66999999999996</v>
      </c>
      <c r="K36" s="10">
        <v>226.28</v>
      </c>
      <c r="L36" s="10">
        <v>4.4000000000000004</v>
      </c>
      <c r="M36" s="10">
        <v>5.01</v>
      </c>
      <c r="N36" s="10">
        <v>8.64</v>
      </c>
      <c r="O36" s="10">
        <v>6.72</v>
      </c>
      <c r="R36" s="10" t="s">
        <v>91</v>
      </c>
      <c r="S36" s="10">
        <v>3.6</v>
      </c>
      <c r="T36" s="10">
        <v>1.8</v>
      </c>
      <c r="U36" s="10">
        <v>0.1</v>
      </c>
      <c r="V36" s="10">
        <v>0.1</v>
      </c>
      <c r="W36" s="10">
        <v>60</v>
      </c>
      <c r="X36" s="10">
        <v>200</v>
      </c>
      <c r="Y36" s="10">
        <v>130</v>
      </c>
      <c r="Z36" s="10">
        <v>170</v>
      </c>
      <c r="AA36" s="10">
        <v>200</v>
      </c>
      <c r="AB36" s="10">
        <v>0.1</v>
      </c>
      <c r="AC36" s="10">
        <v>0.1</v>
      </c>
      <c r="AF36" s="10">
        <v>2.5499999999999998</v>
      </c>
      <c r="AG36" s="10">
        <v>4.83</v>
      </c>
      <c r="AH36" s="10">
        <v>13.9</v>
      </c>
      <c r="AI36" s="10">
        <v>16.3</v>
      </c>
      <c r="AJ36" s="10">
        <v>4.01</v>
      </c>
      <c r="AK36" s="10">
        <v>3.81</v>
      </c>
      <c r="AL36" s="10">
        <v>10.4</v>
      </c>
      <c r="AN36" s="10">
        <v>0</v>
      </c>
      <c r="AO36" s="10">
        <v>29.1</v>
      </c>
      <c r="AP36" s="10">
        <v>150</v>
      </c>
      <c r="AQ36" s="10">
        <v>543</v>
      </c>
      <c r="AR36" s="10">
        <v>160</v>
      </c>
      <c r="AS36" s="10">
        <v>0.08</v>
      </c>
    </row>
    <row r="37" spans="1:45" s="10" customFormat="1" x14ac:dyDescent="0.3">
      <c r="A37" s="10" t="s">
        <v>93</v>
      </c>
      <c r="B37" s="10" t="s">
        <v>92</v>
      </c>
      <c r="C37" s="34">
        <v>9.6999999999999993</v>
      </c>
      <c r="D37" s="70">
        <v>7.3260073260073</v>
      </c>
      <c r="F37" s="10">
        <v>4.6399999999999997</v>
      </c>
      <c r="G37" s="10">
        <v>2.94</v>
      </c>
      <c r="H37" s="10">
        <v>0.5</v>
      </c>
      <c r="I37" s="10">
        <v>0.25</v>
      </c>
      <c r="J37" s="10">
        <v>551.51</v>
      </c>
      <c r="K37" s="10">
        <v>198.27</v>
      </c>
      <c r="L37" s="10">
        <v>2.14</v>
      </c>
      <c r="M37" s="10">
        <v>3.18</v>
      </c>
      <c r="N37" s="10">
        <v>5.19</v>
      </c>
      <c r="O37" s="10">
        <v>1.24</v>
      </c>
      <c r="R37" s="10" t="s">
        <v>93</v>
      </c>
      <c r="S37" s="10">
        <v>0.38</v>
      </c>
      <c r="T37" s="10">
        <v>0.38</v>
      </c>
      <c r="U37" s="10">
        <v>0.38</v>
      </c>
      <c r="V37" s="10">
        <v>0.38</v>
      </c>
      <c r="W37" s="10">
        <v>0.38</v>
      </c>
      <c r="X37" s="10">
        <v>7</v>
      </c>
      <c r="Y37" s="10">
        <v>0.38</v>
      </c>
      <c r="Z37" s="10">
        <v>0.11</v>
      </c>
      <c r="AA37" s="10">
        <v>44</v>
      </c>
      <c r="AB37" s="10">
        <v>0.38</v>
      </c>
      <c r="AC37" s="10">
        <v>0.38</v>
      </c>
      <c r="AF37" s="10">
        <v>1.41</v>
      </c>
      <c r="AG37" s="10">
        <v>2.67</v>
      </c>
      <c r="AH37" s="10">
        <v>13.7</v>
      </c>
      <c r="AI37" s="10">
        <v>7.75</v>
      </c>
      <c r="AJ37" s="10">
        <v>2.11</v>
      </c>
      <c r="AK37" s="10">
        <v>2.4300000000000002</v>
      </c>
      <c r="AL37" s="10">
        <v>2.0299999999999998</v>
      </c>
      <c r="AN37" s="10">
        <v>0</v>
      </c>
      <c r="AO37" s="10">
        <v>0.45</v>
      </c>
      <c r="AP37" s="10">
        <v>123</v>
      </c>
      <c r="AQ37" s="10">
        <v>430</v>
      </c>
      <c r="AR37" s="10">
        <v>139</v>
      </c>
      <c r="AS37" s="10">
        <v>0.1</v>
      </c>
    </row>
    <row r="38" spans="1:45" s="10" customFormat="1" x14ac:dyDescent="0.3">
      <c r="A38" s="10" t="s">
        <v>97</v>
      </c>
      <c r="B38" s="10" t="s">
        <v>96</v>
      </c>
      <c r="C38" s="34">
        <v>8</v>
      </c>
      <c r="D38" s="70">
        <v>7.3260073260073</v>
      </c>
      <c r="F38" s="10">
        <v>5.14</v>
      </c>
      <c r="G38" s="10">
        <v>2.94</v>
      </c>
      <c r="H38" s="10">
        <v>1.61</v>
      </c>
      <c r="I38" s="10">
        <v>0</v>
      </c>
      <c r="J38" s="10">
        <v>125.74</v>
      </c>
      <c r="K38" s="10">
        <v>53.42</v>
      </c>
      <c r="L38" s="10">
        <v>1.31</v>
      </c>
      <c r="M38" s="10">
        <v>0.98</v>
      </c>
      <c r="N38" s="10">
        <v>2.1</v>
      </c>
      <c r="O38" s="10">
        <v>1.37</v>
      </c>
      <c r="R38" s="10" t="s">
        <v>97</v>
      </c>
      <c r="S38" s="10">
        <v>0.39</v>
      </c>
      <c r="T38" s="10">
        <v>0.39</v>
      </c>
      <c r="U38" s="10">
        <v>0.39</v>
      </c>
      <c r="V38" s="10">
        <v>0.39</v>
      </c>
      <c r="W38" s="10">
        <v>0.39</v>
      </c>
      <c r="X38" s="10">
        <v>1</v>
      </c>
      <c r="Y38" s="10">
        <v>0.4</v>
      </c>
      <c r="Z38" s="10">
        <v>0.39</v>
      </c>
      <c r="AA38" s="10">
        <v>11</v>
      </c>
      <c r="AB38" s="10">
        <v>0.39</v>
      </c>
      <c r="AC38" s="10">
        <v>0.39</v>
      </c>
      <c r="AE38" s="21" t="s">
        <v>321</v>
      </c>
      <c r="AF38" s="10">
        <v>1.59</v>
      </c>
      <c r="AG38" s="10">
        <v>2.17</v>
      </c>
      <c r="AH38" s="10">
        <v>8.68</v>
      </c>
      <c r="AI38" s="10">
        <v>10.6</v>
      </c>
      <c r="AJ38" s="10">
        <v>2.33</v>
      </c>
      <c r="AK38" s="10">
        <v>2.87</v>
      </c>
      <c r="AL38" s="10">
        <v>4.3099999999999996</v>
      </c>
      <c r="AN38" s="10">
        <v>0</v>
      </c>
      <c r="AO38" s="10">
        <v>0</v>
      </c>
      <c r="AP38" s="10">
        <v>41.3</v>
      </c>
      <c r="AQ38" s="10">
        <v>124</v>
      </c>
      <c r="AR38" s="10">
        <v>67.8</v>
      </c>
      <c r="AS38" s="10">
        <v>0</v>
      </c>
    </row>
    <row r="39" spans="1:45" s="10" customFormat="1" x14ac:dyDescent="0.3">
      <c r="A39" s="10" t="s">
        <v>99</v>
      </c>
      <c r="B39" s="10" t="s">
        <v>98</v>
      </c>
      <c r="C39" s="34">
        <v>2.8</v>
      </c>
      <c r="D39" s="70">
        <v>0</v>
      </c>
      <c r="F39" s="10">
        <v>0.5</v>
      </c>
      <c r="G39" s="10">
        <v>0.49</v>
      </c>
      <c r="H39" s="10">
        <v>0.99</v>
      </c>
      <c r="I39" s="10">
        <v>0</v>
      </c>
      <c r="J39" s="10">
        <v>34.08</v>
      </c>
      <c r="K39" s="10">
        <v>11.84</v>
      </c>
      <c r="L39" s="10">
        <v>0.12</v>
      </c>
      <c r="M39" s="10">
        <v>0.4</v>
      </c>
      <c r="N39" s="10">
        <v>0.37</v>
      </c>
      <c r="O39" s="10">
        <v>0.37</v>
      </c>
      <c r="R39" s="10" t="s">
        <v>99</v>
      </c>
      <c r="S39" s="10">
        <v>0.28999999999999998</v>
      </c>
      <c r="T39" s="10">
        <v>0.28999999999999998</v>
      </c>
      <c r="U39" s="10">
        <v>0.28999999999999998</v>
      </c>
      <c r="V39" s="10">
        <v>0.28999999999999998</v>
      </c>
      <c r="W39" s="10">
        <v>0.28999999999999998</v>
      </c>
      <c r="X39" s="10">
        <v>0.28999999999999998</v>
      </c>
      <c r="Y39" s="10">
        <v>0.28999999999999998</v>
      </c>
      <c r="Z39" s="10">
        <v>0.28999999999999998</v>
      </c>
      <c r="AA39" s="10">
        <v>1.2</v>
      </c>
      <c r="AB39" s="10">
        <v>0.28999999999999998</v>
      </c>
      <c r="AC39" s="10">
        <v>0.28999999999999998</v>
      </c>
    </row>
    <row r="40" spans="1:45" s="10" customFormat="1" x14ac:dyDescent="0.3">
      <c r="A40" s="10" t="s">
        <v>105</v>
      </c>
      <c r="B40" s="10" t="s">
        <v>104</v>
      </c>
      <c r="C40" s="34">
        <v>2.2999999999999998</v>
      </c>
      <c r="D40" s="70">
        <v>0</v>
      </c>
      <c r="F40" s="10">
        <v>2.2599999999999998</v>
      </c>
      <c r="G40" s="10">
        <v>0.86</v>
      </c>
      <c r="H40" s="10">
        <v>1.24</v>
      </c>
      <c r="I40" s="10">
        <v>0</v>
      </c>
      <c r="J40" s="10">
        <v>449.35</v>
      </c>
      <c r="K40" s="10">
        <v>151.13999999999999</v>
      </c>
      <c r="L40" s="10">
        <v>2.5</v>
      </c>
      <c r="M40" s="10">
        <v>0.49</v>
      </c>
      <c r="N40" s="10">
        <v>0.49</v>
      </c>
      <c r="O40" s="10">
        <v>0.25</v>
      </c>
      <c r="R40" s="10" t="s">
        <v>105</v>
      </c>
      <c r="S40" s="10">
        <v>0.3</v>
      </c>
      <c r="T40" s="10">
        <v>0.3</v>
      </c>
      <c r="U40" s="10">
        <v>0.3</v>
      </c>
      <c r="V40" s="10">
        <v>0.3</v>
      </c>
      <c r="W40" s="10">
        <v>0.3</v>
      </c>
      <c r="X40" s="10">
        <v>0.71</v>
      </c>
      <c r="Y40" s="10">
        <v>0.3</v>
      </c>
      <c r="Z40" s="10">
        <v>0.3</v>
      </c>
      <c r="AA40" s="10">
        <v>16</v>
      </c>
      <c r="AB40" s="10">
        <v>0.3</v>
      </c>
      <c r="AC40" s="10">
        <v>0.3</v>
      </c>
      <c r="AF40" s="10">
        <v>0.74</v>
      </c>
      <c r="AG40" s="10">
        <v>0.59</v>
      </c>
      <c r="AH40" s="10">
        <v>3.71</v>
      </c>
      <c r="AI40" s="10">
        <v>3.15</v>
      </c>
      <c r="AJ40" s="10">
        <v>1.33</v>
      </c>
      <c r="AK40" s="10">
        <v>1.32</v>
      </c>
      <c r="AL40" s="10">
        <v>2.2200000000000002</v>
      </c>
      <c r="AN40" s="10">
        <v>0</v>
      </c>
      <c r="AO40" s="10">
        <v>0</v>
      </c>
      <c r="AP40" s="10">
        <v>64.400000000000006</v>
      </c>
      <c r="AQ40" s="10">
        <v>211</v>
      </c>
      <c r="AR40" s="10">
        <v>59.9</v>
      </c>
      <c r="AS40" s="10">
        <v>0</v>
      </c>
    </row>
    <row r="41" spans="1:45" s="10" customFormat="1" x14ac:dyDescent="0.3">
      <c r="A41" s="10" t="s">
        <v>111</v>
      </c>
      <c r="B41" s="10" t="s">
        <v>110</v>
      </c>
      <c r="C41" s="34">
        <v>3</v>
      </c>
      <c r="D41" s="70">
        <v>0</v>
      </c>
      <c r="F41" s="10">
        <v>0.63</v>
      </c>
      <c r="G41" s="10">
        <v>1.25</v>
      </c>
      <c r="H41" s="10">
        <v>0.49</v>
      </c>
      <c r="I41" s="10">
        <v>0</v>
      </c>
      <c r="J41" s="10">
        <v>68.56</v>
      </c>
      <c r="K41" s="10">
        <v>21.84</v>
      </c>
      <c r="L41" s="10">
        <v>0.24</v>
      </c>
      <c r="M41" s="10">
        <v>0.12</v>
      </c>
      <c r="N41" s="10">
        <v>0.86</v>
      </c>
      <c r="O41" s="10">
        <v>0.18</v>
      </c>
      <c r="R41" s="10" t="s">
        <v>111</v>
      </c>
      <c r="S41" s="10">
        <v>0.46</v>
      </c>
      <c r="T41" s="10">
        <v>0.46</v>
      </c>
      <c r="U41" s="10">
        <v>0.46</v>
      </c>
      <c r="V41" s="10">
        <v>0.46</v>
      </c>
      <c r="W41" s="10">
        <v>0.46</v>
      </c>
      <c r="X41" s="10">
        <v>0.46</v>
      </c>
      <c r="Y41" s="10">
        <v>0.46</v>
      </c>
      <c r="Z41" s="10">
        <v>0.46</v>
      </c>
      <c r="AA41" s="10">
        <v>1.2</v>
      </c>
      <c r="AB41" s="10">
        <v>0.46</v>
      </c>
      <c r="AC41" s="10">
        <v>0.46</v>
      </c>
      <c r="AF41" s="10">
        <v>0.3</v>
      </c>
      <c r="AG41" s="10">
        <v>0.23</v>
      </c>
      <c r="AH41" s="10">
        <v>2.46</v>
      </c>
      <c r="AI41" s="10">
        <v>1.5</v>
      </c>
      <c r="AJ41" s="10">
        <v>0.37</v>
      </c>
      <c r="AK41" s="10">
        <v>0</v>
      </c>
      <c r="AL41" s="10">
        <v>1.53</v>
      </c>
      <c r="AN41" s="10">
        <v>0</v>
      </c>
      <c r="AO41" s="10">
        <v>0</v>
      </c>
      <c r="AP41" s="10">
        <v>14.4</v>
      </c>
      <c r="AQ41" s="10">
        <v>51.2</v>
      </c>
      <c r="AR41" s="10">
        <v>23.2</v>
      </c>
      <c r="AS41" s="10">
        <v>0</v>
      </c>
    </row>
    <row r="42" spans="1:45" s="10" customFormat="1" x14ac:dyDescent="0.3">
      <c r="A42" s="10" t="s">
        <v>113</v>
      </c>
      <c r="B42" s="10" t="s">
        <v>112</v>
      </c>
      <c r="C42" s="34">
        <v>1.4</v>
      </c>
      <c r="D42" s="70">
        <v>0</v>
      </c>
      <c r="F42" s="10">
        <v>0.13</v>
      </c>
      <c r="G42" s="10">
        <v>0.74</v>
      </c>
      <c r="H42" s="10">
        <v>0.52</v>
      </c>
      <c r="I42" s="10">
        <v>0</v>
      </c>
      <c r="J42" s="10">
        <v>25.15</v>
      </c>
      <c r="K42" s="10">
        <v>9.5</v>
      </c>
      <c r="L42" s="10">
        <v>0</v>
      </c>
      <c r="M42" s="10">
        <v>0</v>
      </c>
      <c r="N42" s="10">
        <v>0.5</v>
      </c>
      <c r="O42" s="10">
        <v>0.18</v>
      </c>
      <c r="R42" s="10" t="s">
        <v>113</v>
      </c>
      <c r="S42" s="10">
        <v>0.45</v>
      </c>
      <c r="T42" s="10">
        <v>0.45</v>
      </c>
      <c r="U42" s="10">
        <v>0.45</v>
      </c>
      <c r="V42" s="10">
        <v>0.45</v>
      </c>
      <c r="W42" s="10">
        <v>0.45</v>
      </c>
      <c r="X42" s="10">
        <v>0.45</v>
      </c>
      <c r="Y42" s="10">
        <v>0.45</v>
      </c>
      <c r="Z42" s="10">
        <v>0.45</v>
      </c>
      <c r="AA42" s="10">
        <v>1.1000000000000001</v>
      </c>
      <c r="AB42" s="10">
        <v>0.45</v>
      </c>
      <c r="AC42" s="10">
        <v>0.45</v>
      </c>
      <c r="AF42" s="10">
        <v>0.38</v>
      </c>
      <c r="AG42" s="10">
        <v>0</v>
      </c>
      <c r="AH42" s="10">
        <v>0.63</v>
      </c>
      <c r="AI42" s="10">
        <v>1.4</v>
      </c>
      <c r="AJ42" s="10">
        <v>0.31</v>
      </c>
      <c r="AK42" s="10">
        <v>0</v>
      </c>
      <c r="AL42" s="10">
        <v>1.3</v>
      </c>
      <c r="AN42" s="10">
        <v>0</v>
      </c>
      <c r="AO42" s="10">
        <v>0</v>
      </c>
      <c r="AP42" s="10">
        <v>7.56</v>
      </c>
      <c r="AQ42" s="10">
        <v>30</v>
      </c>
      <c r="AR42" s="10">
        <v>12.2</v>
      </c>
      <c r="AS42" s="10">
        <v>0</v>
      </c>
    </row>
    <row r="43" spans="1:45" s="10" customFormat="1" x14ac:dyDescent="0.3">
      <c r="A43" s="10" t="s">
        <v>115</v>
      </c>
      <c r="B43" s="10" t="s">
        <v>114</v>
      </c>
      <c r="C43" s="34">
        <v>5</v>
      </c>
      <c r="D43" s="70">
        <v>0</v>
      </c>
      <c r="F43" s="10">
        <v>3.13</v>
      </c>
      <c r="G43" s="10">
        <v>2.94</v>
      </c>
      <c r="H43" s="10">
        <v>1.86</v>
      </c>
      <c r="I43" s="10">
        <v>0</v>
      </c>
      <c r="J43" s="10">
        <v>83.87</v>
      </c>
      <c r="K43" s="10">
        <v>28.62</v>
      </c>
      <c r="L43" s="10">
        <v>1.55</v>
      </c>
      <c r="M43" s="10">
        <v>0.86</v>
      </c>
      <c r="N43" s="10">
        <v>1.23</v>
      </c>
      <c r="O43" s="10">
        <v>0.5</v>
      </c>
      <c r="R43" s="10" t="s">
        <v>115</v>
      </c>
      <c r="S43" s="10">
        <v>0.44</v>
      </c>
      <c r="T43" s="10">
        <v>0.44</v>
      </c>
      <c r="U43" s="10">
        <v>0.44</v>
      </c>
      <c r="V43" s="10">
        <v>0.44</v>
      </c>
      <c r="W43" s="10">
        <v>0.44</v>
      </c>
      <c r="X43" s="10">
        <v>0.44</v>
      </c>
      <c r="Y43" s="10">
        <v>0.44</v>
      </c>
      <c r="Z43" s="10">
        <v>0.44</v>
      </c>
      <c r="AA43" s="10">
        <v>3</v>
      </c>
      <c r="AB43" s="10">
        <v>0.44</v>
      </c>
      <c r="AC43" s="10">
        <v>0.44</v>
      </c>
      <c r="AF43" s="10">
        <v>1.29</v>
      </c>
      <c r="AG43" s="10">
        <v>0.7</v>
      </c>
      <c r="AH43" s="10">
        <v>4.2699999999999996</v>
      </c>
      <c r="AI43" s="10">
        <v>3.61</v>
      </c>
      <c r="AJ43" s="10">
        <v>1.42</v>
      </c>
      <c r="AK43" s="10">
        <v>1.48</v>
      </c>
      <c r="AL43" s="10">
        <v>2.61</v>
      </c>
      <c r="AN43" s="10">
        <v>0</v>
      </c>
      <c r="AO43" s="10">
        <v>0</v>
      </c>
      <c r="AP43" s="10">
        <v>25.5</v>
      </c>
      <c r="AQ43" s="10">
        <v>77.5</v>
      </c>
      <c r="AR43" s="10">
        <v>11.8</v>
      </c>
      <c r="AS43" s="10">
        <v>0</v>
      </c>
    </row>
    <row r="46" spans="1:45" x14ac:dyDescent="0.3">
      <c r="A46" t="s">
        <v>160</v>
      </c>
      <c r="C46" s="28">
        <v>45</v>
      </c>
      <c r="D46" s="60">
        <v>40.293040293040299</v>
      </c>
      <c r="F46">
        <v>122</v>
      </c>
      <c r="G46">
        <v>121</v>
      </c>
      <c r="H46">
        <v>147.69999999999999</v>
      </c>
      <c r="I46">
        <v>65</v>
      </c>
      <c r="J46">
        <v>92</v>
      </c>
      <c r="K46">
        <v>108</v>
      </c>
      <c r="L46">
        <v>10</v>
      </c>
      <c r="M46">
        <v>34</v>
      </c>
      <c r="N46">
        <v>40</v>
      </c>
      <c r="O46">
        <v>139</v>
      </c>
      <c r="R46" t="s">
        <v>160</v>
      </c>
      <c r="AF46">
        <v>1.61</v>
      </c>
      <c r="AG46">
        <v>35</v>
      </c>
      <c r="AH46">
        <v>14.1</v>
      </c>
      <c r="AI46">
        <v>39.200000000000003</v>
      </c>
      <c r="AJ46">
        <v>89.7</v>
      </c>
      <c r="AK46">
        <v>47.4</v>
      </c>
      <c r="AL46">
        <v>1.21</v>
      </c>
      <c r="AN46">
        <v>2.41</v>
      </c>
      <c r="AO46">
        <v>34</v>
      </c>
      <c r="AP46">
        <v>134</v>
      </c>
      <c r="AQ46">
        <v>90.4</v>
      </c>
      <c r="AR46">
        <v>110</v>
      </c>
      <c r="AS46">
        <v>0.15</v>
      </c>
    </row>
    <row r="47" spans="1:45" x14ac:dyDescent="0.3">
      <c r="A47" t="s">
        <v>67</v>
      </c>
      <c r="C47" s="28">
        <v>70</v>
      </c>
      <c r="D47" s="60">
        <v>128.20512820512801</v>
      </c>
      <c r="F47">
        <v>225</v>
      </c>
      <c r="G47">
        <v>219</v>
      </c>
      <c r="H47">
        <v>438.8</v>
      </c>
      <c r="I47">
        <v>110</v>
      </c>
      <c r="J47">
        <v>295</v>
      </c>
      <c r="K47">
        <v>315</v>
      </c>
      <c r="L47">
        <v>39</v>
      </c>
      <c r="M47">
        <v>86</v>
      </c>
      <c r="N47">
        <v>125.7</v>
      </c>
      <c r="O47">
        <v>207.1</v>
      </c>
      <c r="R47" t="s">
        <v>67</v>
      </c>
      <c r="AF47">
        <v>2.56</v>
      </c>
      <c r="AG47">
        <v>85</v>
      </c>
      <c r="AH47">
        <v>46.5</v>
      </c>
      <c r="AI47">
        <v>125</v>
      </c>
      <c r="AJ47">
        <v>368</v>
      </c>
      <c r="AK47">
        <v>115</v>
      </c>
      <c r="AL47">
        <v>59.2</v>
      </c>
      <c r="AN47">
        <v>0</v>
      </c>
      <c r="AO47">
        <v>163</v>
      </c>
      <c r="AP47">
        <v>416</v>
      </c>
      <c r="AQ47">
        <v>387</v>
      </c>
      <c r="AR47">
        <v>362</v>
      </c>
      <c r="AS47">
        <v>1.54</v>
      </c>
    </row>
    <row r="48" spans="1:45" x14ac:dyDescent="0.3">
      <c r="A48" t="s">
        <v>68</v>
      </c>
      <c r="C48" s="28">
        <v>101</v>
      </c>
      <c r="D48" s="60">
        <v>197.80219780219699</v>
      </c>
      <c r="F48">
        <v>318</v>
      </c>
      <c r="G48">
        <v>298</v>
      </c>
      <c r="H48">
        <v>770.3</v>
      </c>
      <c r="I48">
        <v>99</v>
      </c>
      <c r="J48">
        <v>610</v>
      </c>
      <c r="K48">
        <v>620</v>
      </c>
      <c r="L48">
        <v>140</v>
      </c>
      <c r="M48">
        <v>155</v>
      </c>
      <c r="N48">
        <v>237.4</v>
      </c>
      <c r="O48">
        <v>268.39999999999998</v>
      </c>
      <c r="R48" t="s">
        <v>68</v>
      </c>
      <c r="AF48">
        <v>9.33</v>
      </c>
      <c r="AG48">
        <v>201</v>
      </c>
      <c r="AH48">
        <v>63.1</v>
      </c>
      <c r="AI48">
        <v>182</v>
      </c>
      <c r="AJ48">
        <v>819</v>
      </c>
      <c r="AK48">
        <v>212</v>
      </c>
      <c r="AL48">
        <v>265</v>
      </c>
      <c r="AN48">
        <v>0</v>
      </c>
      <c r="AO48">
        <v>160</v>
      </c>
      <c r="AP48">
        <v>656</v>
      </c>
      <c r="AQ48">
        <v>907</v>
      </c>
      <c r="AR48">
        <v>686</v>
      </c>
      <c r="AS48">
        <v>9.0299999999999994</v>
      </c>
    </row>
    <row r="49" spans="1:45" x14ac:dyDescent="0.3">
      <c r="A49" t="s">
        <v>69</v>
      </c>
      <c r="C49" s="28">
        <v>69</v>
      </c>
      <c r="D49" s="60">
        <v>139.19413919413901</v>
      </c>
      <c r="F49">
        <v>265</v>
      </c>
      <c r="G49">
        <v>201</v>
      </c>
      <c r="H49">
        <v>675.9</v>
      </c>
      <c r="I49">
        <v>38</v>
      </c>
      <c r="J49">
        <v>582</v>
      </c>
      <c r="K49">
        <v>701</v>
      </c>
      <c r="L49">
        <v>264</v>
      </c>
      <c r="M49">
        <v>128</v>
      </c>
      <c r="N49">
        <v>205.5</v>
      </c>
      <c r="O49">
        <v>201.2</v>
      </c>
      <c r="R49" t="s">
        <v>69</v>
      </c>
      <c r="AF49">
        <v>2.77</v>
      </c>
      <c r="AG49">
        <v>170</v>
      </c>
      <c r="AH49">
        <v>45.7</v>
      </c>
      <c r="AI49">
        <v>153</v>
      </c>
      <c r="AJ49">
        <v>955</v>
      </c>
      <c r="AK49">
        <v>187</v>
      </c>
      <c r="AL49">
        <v>387</v>
      </c>
      <c r="AN49">
        <v>0</v>
      </c>
      <c r="AO49">
        <v>96.2</v>
      </c>
      <c r="AP49">
        <v>664</v>
      </c>
      <c r="AQ49">
        <v>961</v>
      </c>
      <c r="AR49">
        <v>656</v>
      </c>
      <c r="AS49">
        <v>18.600000000000001</v>
      </c>
    </row>
    <row r="50" spans="1:45" x14ac:dyDescent="0.3">
      <c r="A50" t="s">
        <v>81</v>
      </c>
      <c r="C50" s="28">
        <v>175</v>
      </c>
      <c r="D50" s="60">
        <v>197.80219780219699</v>
      </c>
      <c r="F50">
        <v>134.71</v>
      </c>
      <c r="G50">
        <v>70.8</v>
      </c>
      <c r="H50">
        <v>7.83</v>
      </c>
      <c r="I50">
        <v>839.73</v>
      </c>
      <c r="J50">
        <v>132.97999999999999</v>
      </c>
      <c r="K50">
        <v>69.22</v>
      </c>
      <c r="L50">
        <v>2.38</v>
      </c>
      <c r="M50">
        <v>34.229999999999997</v>
      </c>
      <c r="N50">
        <v>94.32</v>
      </c>
      <c r="O50">
        <v>68.45</v>
      </c>
      <c r="R50" t="s">
        <v>81</v>
      </c>
      <c r="AF50">
        <v>25.9</v>
      </c>
      <c r="AG50">
        <v>153</v>
      </c>
      <c r="AH50">
        <v>60.7</v>
      </c>
      <c r="AI50">
        <v>288</v>
      </c>
      <c r="AJ50">
        <v>23.1</v>
      </c>
      <c r="AK50">
        <v>5.77</v>
      </c>
      <c r="AL50">
        <v>0</v>
      </c>
      <c r="AN50">
        <v>907</v>
      </c>
      <c r="AO50">
        <v>489</v>
      </c>
      <c r="AP50">
        <v>186</v>
      </c>
      <c r="AQ50">
        <v>104</v>
      </c>
      <c r="AR50">
        <v>26.1</v>
      </c>
      <c r="AS50">
        <v>0.11</v>
      </c>
    </row>
    <row r="51" spans="1:45" x14ac:dyDescent="0.3">
      <c r="A51" t="s">
        <v>95</v>
      </c>
      <c r="B51" t="s">
        <v>94</v>
      </c>
      <c r="R51" t="s">
        <v>95</v>
      </c>
    </row>
    <row r="52" spans="1:45" x14ac:dyDescent="0.3">
      <c r="A52" t="s">
        <v>101</v>
      </c>
      <c r="B52" t="s">
        <v>100</v>
      </c>
      <c r="C52" s="28">
        <v>2.5</v>
      </c>
      <c r="D52" s="60">
        <v>0</v>
      </c>
      <c r="R52" t="s">
        <v>101</v>
      </c>
    </row>
    <row r="53" spans="1:45" x14ac:dyDescent="0.3">
      <c r="A53" t="s">
        <v>103</v>
      </c>
      <c r="B53" t="s">
        <v>102</v>
      </c>
      <c r="C53" s="28">
        <v>13</v>
      </c>
      <c r="D53" s="60">
        <v>0</v>
      </c>
      <c r="F53">
        <v>10.28</v>
      </c>
      <c r="G53">
        <v>8.7100000000000009</v>
      </c>
      <c r="H53">
        <v>4.22</v>
      </c>
      <c r="I53">
        <v>0</v>
      </c>
      <c r="J53">
        <v>221.23</v>
      </c>
      <c r="K53">
        <v>93.03</v>
      </c>
      <c r="L53">
        <v>2.14</v>
      </c>
      <c r="M53">
        <v>1.59</v>
      </c>
      <c r="N53">
        <v>4.07</v>
      </c>
      <c r="O53">
        <v>3.48</v>
      </c>
      <c r="R53" t="s">
        <v>103</v>
      </c>
      <c r="S53">
        <v>0.36</v>
      </c>
      <c r="T53">
        <v>0.36</v>
      </c>
      <c r="U53">
        <v>0.36</v>
      </c>
      <c r="V53">
        <v>0.36</v>
      </c>
      <c r="W53">
        <v>0.36</v>
      </c>
      <c r="X53">
        <v>3.7</v>
      </c>
      <c r="Y53">
        <v>1.4</v>
      </c>
      <c r="Z53">
        <v>1.2</v>
      </c>
      <c r="AA53">
        <v>31</v>
      </c>
      <c r="AB53">
        <v>0.36</v>
      </c>
      <c r="AC53">
        <v>0.36</v>
      </c>
      <c r="AF53">
        <v>1.33</v>
      </c>
      <c r="AG53">
        <v>1.45</v>
      </c>
      <c r="AH53">
        <v>14.3</v>
      </c>
      <c r="AI53">
        <v>11.1</v>
      </c>
      <c r="AJ53">
        <v>2.7</v>
      </c>
      <c r="AK53">
        <v>3.55</v>
      </c>
      <c r="AL53">
        <v>5.93</v>
      </c>
      <c r="AN53">
        <v>0</v>
      </c>
      <c r="AO53">
        <v>0</v>
      </c>
      <c r="AP53">
        <v>76.8</v>
      </c>
      <c r="AQ53">
        <v>170</v>
      </c>
      <c r="AR53">
        <v>95.7</v>
      </c>
      <c r="AS53">
        <v>0</v>
      </c>
    </row>
    <row r="54" spans="1:45" x14ac:dyDescent="0.3">
      <c r="A54" t="s">
        <v>107</v>
      </c>
      <c r="B54" t="s">
        <v>106</v>
      </c>
      <c r="C54" s="28">
        <v>1.5</v>
      </c>
      <c r="D54" s="60">
        <v>0</v>
      </c>
      <c r="F54">
        <v>3.01</v>
      </c>
      <c r="G54">
        <v>1.72</v>
      </c>
      <c r="H54">
        <v>0</v>
      </c>
      <c r="I54">
        <v>0</v>
      </c>
      <c r="J54">
        <v>159.07</v>
      </c>
      <c r="K54">
        <v>48.37</v>
      </c>
      <c r="L54">
        <v>6.07</v>
      </c>
      <c r="M54">
        <v>19.32</v>
      </c>
      <c r="N54">
        <v>30.37</v>
      </c>
      <c r="O54">
        <v>0.12</v>
      </c>
      <c r="R54" t="s">
        <v>107</v>
      </c>
      <c r="S54">
        <v>0.26</v>
      </c>
      <c r="T54">
        <v>0.26</v>
      </c>
      <c r="U54">
        <v>0.26</v>
      </c>
      <c r="V54">
        <v>0.26</v>
      </c>
      <c r="W54">
        <v>0.26</v>
      </c>
      <c r="X54">
        <v>1.7</v>
      </c>
      <c r="Y54">
        <v>0.26</v>
      </c>
      <c r="Z54">
        <v>0.26</v>
      </c>
      <c r="AA54">
        <v>11</v>
      </c>
      <c r="AB54">
        <v>0.26</v>
      </c>
      <c r="AC54">
        <v>0.26</v>
      </c>
      <c r="AF54">
        <v>1.1000000000000001</v>
      </c>
      <c r="AG54">
        <v>21.2</v>
      </c>
      <c r="AH54">
        <v>2.93</v>
      </c>
      <c r="AI54">
        <v>4.7</v>
      </c>
      <c r="AJ54">
        <v>0.97</v>
      </c>
      <c r="AK54">
        <v>30.2</v>
      </c>
      <c r="AL54">
        <v>4.83</v>
      </c>
      <c r="AN54">
        <v>0</v>
      </c>
      <c r="AO54">
        <v>0</v>
      </c>
      <c r="AP54">
        <v>24.9</v>
      </c>
      <c r="AQ54">
        <v>90.2</v>
      </c>
      <c r="AR54">
        <v>26.5</v>
      </c>
      <c r="AS54">
        <v>0</v>
      </c>
    </row>
    <row r="55" spans="1:45" x14ac:dyDescent="0.3">
      <c r="A55" t="s">
        <v>109</v>
      </c>
      <c r="B55" t="s">
        <v>108</v>
      </c>
      <c r="C55" s="28">
        <v>6</v>
      </c>
      <c r="R55" t="s">
        <v>109</v>
      </c>
    </row>
    <row r="56" spans="1:45" x14ac:dyDescent="0.3">
      <c r="C56" s="28" t="s">
        <v>164</v>
      </c>
      <c r="D56" s="60" t="s">
        <v>117</v>
      </c>
      <c r="F56" t="s">
        <v>207</v>
      </c>
      <c r="S56" t="s">
        <v>177</v>
      </c>
    </row>
    <row r="57" spans="1:45" x14ac:dyDescent="0.3">
      <c r="C57" s="28" t="s">
        <v>199</v>
      </c>
      <c r="D57" s="60" t="s">
        <v>199</v>
      </c>
      <c r="F57" t="s">
        <v>206</v>
      </c>
      <c r="S57" t="s">
        <v>206</v>
      </c>
    </row>
    <row r="58" spans="1:45" x14ac:dyDescent="0.3">
      <c r="C58" s="28" t="s">
        <v>165</v>
      </c>
      <c r="D58" s="68" t="s">
        <v>48</v>
      </c>
      <c r="F58" t="s">
        <v>194</v>
      </c>
      <c r="G58" t="s">
        <v>195</v>
      </c>
      <c r="H58" t="s">
        <v>197</v>
      </c>
      <c r="I58" t="s">
        <v>198</v>
      </c>
      <c r="J58" t="s">
        <v>200</v>
      </c>
      <c r="K58" t="s">
        <v>201</v>
      </c>
      <c r="L58" t="s">
        <v>202</v>
      </c>
      <c r="M58" t="s">
        <v>203</v>
      </c>
      <c r="N58" t="s">
        <v>204</v>
      </c>
      <c r="O58" t="s">
        <v>205</v>
      </c>
      <c r="S58" t="s">
        <v>168</v>
      </c>
      <c r="T58" t="s">
        <v>169</v>
      </c>
      <c r="U58" t="s">
        <v>170</v>
      </c>
      <c r="V58" t="s">
        <v>166</v>
      </c>
      <c r="W58" t="s">
        <v>171</v>
      </c>
      <c r="X58" t="s">
        <v>172</v>
      </c>
      <c r="Y58" t="s">
        <v>167</v>
      </c>
      <c r="Z58" t="s">
        <v>173</v>
      </c>
      <c r="AA58" t="s">
        <v>174</v>
      </c>
      <c r="AB58" t="s">
        <v>175</v>
      </c>
      <c r="AC58" t="s">
        <v>176</v>
      </c>
      <c r="AF58" s="31" t="s">
        <v>285</v>
      </c>
      <c r="AG58" s="31" t="s">
        <v>288</v>
      </c>
      <c r="AH58" s="31" t="s">
        <v>290</v>
      </c>
      <c r="AI58" s="31" t="s">
        <v>294</v>
      </c>
      <c r="AJ58" s="31" t="s">
        <v>319</v>
      </c>
      <c r="AK58" s="31" t="s">
        <v>297</v>
      </c>
      <c r="AL58" s="31" t="s">
        <v>300</v>
      </c>
      <c r="AM58" s="31"/>
      <c r="AN58" s="31" t="s">
        <v>307</v>
      </c>
      <c r="AO58" s="31" t="s">
        <v>309</v>
      </c>
      <c r="AP58" s="31" t="s">
        <v>311</v>
      </c>
      <c r="AQ58" s="31" t="s">
        <v>313</v>
      </c>
      <c r="AR58" s="31" t="s">
        <v>315</v>
      </c>
      <c r="AS58" s="31" t="s">
        <v>317</v>
      </c>
    </row>
    <row r="60" spans="1:45" x14ac:dyDescent="0.3">
      <c r="B60" t="s">
        <v>208</v>
      </c>
      <c r="C60" s="28">
        <f>SUM(C28,C29,C30,C31,C32:C36,C37,C38:C39,C40,C41:C43)</f>
        <v>1305.0000000000002</v>
      </c>
      <c r="D60" s="60">
        <f>SUM(D28,D29,D30,D31,D32:D36,D37,D38:D39,D40,D41:D43)</f>
        <v>1135.5311355311337</v>
      </c>
      <c r="F60">
        <f t="shared" ref="F60:O60" si="0">SUM(F28,F29,F30,F31,F32:F36,F37,F38:F39,F40,F41:F43)</f>
        <v>715.64999999999986</v>
      </c>
      <c r="G60">
        <f t="shared" si="0"/>
        <v>554.5400000000003</v>
      </c>
      <c r="H60">
        <f t="shared" si="0"/>
        <v>172.96000000000009</v>
      </c>
      <c r="I60">
        <f t="shared" si="0"/>
        <v>2063.2499999999995</v>
      </c>
      <c r="J60">
        <f t="shared" si="0"/>
        <v>4751.22</v>
      </c>
      <c r="K60">
        <f t="shared" si="0"/>
        <v>2112.27</v>
      </c>
      <c r="L60">
        <f t="shared" si="0"/>
        <v>79.62</v>
      </c>
      <c r="M60">
        <f t="shared" si="0"/>
        <v>217.88</v>
      </c>
      <c r="N60">
        <f t="shared" si="0"/>
        <v>524.90000000000009</v>
      </c>
      <c r="O60">
        <f t="shared" si="0"/>
        <v>514.04999999999984</v>
      </c>
      <c r="S60">
        <f t="shared" ref="S60:AC60" si="1">SUM(S28,S29,S30,S31,S32:S36,S37,S38:S39,S40,S41:S43)</f>
        <v>2844.2860000000005</v>
      </c>
      <c r="T60">
        <f t="shared" si="1"/>
        <v>515.06600000000003</v>
      </c>
      <c r="U60">
        <f t="shared" si="1"/>
        <v>776.14800000000014</v>
      </c>
      <c r="V60">
        <f t="shared" si="1"/>
        <v>262.82800000000003</v>
      </c>
      <c r="W60">
        <f t="shared" si="1"/>
        <v>361.42599999999999</v>
      </c>
      <c r="X60">
        <f t="shared" si="1"/>
        <v>5798.3659999999991</v>
      </c>
      <c r="Y60">
        <f t="shared" si="1"/>
        <v>8314.6359999999986</v>
      </c>
      <c r="Z60">
        <f t="shared" si="1"/>
        <v>4040.556</v>
      </c>
      <c r="AA60">
        <f t="shared" si="1"/>
        <v>4686.5159999999996</v>
      </c>
      <c r="AB60">
        <f t="shared" si="1"/>
        <v>11.115</v>
      </c>
      <c r="AC60">
        <f t="shared" si="1"/>
        <v>3.7989999999999999</v>
      </c>
      <c r="AD60" s="31"/>
      <c r="AE60" s="31"/>
      <c r="AF60" s="31">
        <f t="shared" ref="AF60:AL60" si="2">SUM(AF28,AF29,AF30,AF31,AF32:AF36,AF37,AF38:AF39,AF40,AF41:AF43)</f>
        <v>139.05000000000001</v>
      </c>
      <c r="AG60" s="31">
        <f t="shared" si="2"/>
        <v>1065.5700000000002</v>
      </c>
      <c r="AH60" s="31">
        <f t="shared" si="2"/>
        <v>1130.6800000000003</v>
      </c>
      <c r="AI60" s="31">
        <f t="shared" si="2"/>
        <v>1567.27</v>
      </c>
      <c r="AJ60" s="31">
        <f t="shared" si="2"/>
        <v>262.89</v>
      </c>
      <c r="AK60" s="31">
        <f t="shared" si="2"/>
        <v>162.44999999999999</v>
      </c>
      <c r="AL60" s="31">
        <f t="shared" si="2"/>
        <v>57.910000000000004</v>
      </c>
      <c r="AM60" s="31"/>
      <c r="AN60" s="31">
        <f t="shared" ref="AN60:AS60" si="3">SUM(AN28,AN29,AN30,AN31,AN32:AN36,AN37,AN38:AN39,AN40,AN41:AN43)</f>
        <v>2786.5800000000004</v>
      </c>
      <c r="AO60" s="31">
        <f t="shared" si="3"/>
        <v>1771.6799999999998</v>
      </c>
      <c r="AP60" s="31">
        <f t="shared" si="3"/>
        <v>1790.7600000000002</v>
      </c>
      <c r="AQ60" s="31">
        <f t="shared" si="3"/>
        <v>3746.5</v>
      </c>
      <c r="AR60" s="31">
        <f t="shared" si="3"/>
        <v>1799.5</v>
      </c>
      <c r="AS60" s="31">
        <f t="shared" si="3"/>
        <v>1.6000000000000003</v>
      </c>
    </row>
    <row r="61" spans="1:45" x14ac:dyDescent="0.3">
      <c r="B61" t="s">
        <v>366</v>
      </c>
      <c r="C61" s="28">
        <f>SUM(C10:C13,C14:C17,C18:C20,C21:C24)</f>
        <v>14315</v>
      </c>
      <c r="D61" s="60">
        <f>SUM(D10:D13,D14:D17,D18:D20,D21:D24)</f>
        <v>8036.6300366300202</v>
      </c>
      <c r="F61">
        <f t="shared" ref="F61:O61" si="4">SUM(F10:F13,F14:F17,F18:F20,F21:F24)</f>
        <v>8901</v>
      </c>
      <c r="G61">
        <f t="shared" si="4"/>
        <v>8231</v>
      </c>
      <c r="H61">
        <f t="shared" si="4"/>
        <v>5764.4</v>
      </c>
      <c r="I61">
        <f t="shared" si="4"/>
        <v>23802.07</v>
      </c>
      <c r="J61">
        <f t="shared" si="4"/>
        <v>51751</v>
      </c>
      <c r="K61">
        <f t="shared" si="4"/>
        <v>25354</v>
      </c>
      <c r="L61">
        <f t="shared" si="4"/>
        <v>1781</v>
      </c>
      <c r="M61">
        <f t="shared" si="4"/>
        <v>4555</v>
      </c>
      <c r="N61">
        <f t="shared" si="4"/>
        <v>7937.0000000000009</v>
      </c>
      <c r="O61">
        <f t="shared" si="4"/>
        <v>6545.4</v>
      </c>
      <c r="S61">
        <f t="shared" ref="S61:AC61" si="5">SUM(S10:S13,S14:S17,S18:S20,S21:S24)</f>
        <v>2714.14</v>
      </c>
      <c r="T61">
        <f t="shared" si="5"/>
        <v>505.90999999999997</v>
      </c>
      <c r="U61">
        <f t="shared" si="5"/>
        <v>5423.1</v>
      </c>
      <c r="V61">
        <f t="shared" si="5"/>
        <v>1426.1669999999999</v>
      </c>
      <c r="W61">
        <f t="shared" si="5"/>
        <v>8769.6</v>
      </c>
      <c r="X61">
        <f t="shared" si="5"/>
        <v>84635</v>
      </c>
      <c r="Y61">
        <f t="shared" si="5"/>
        <v>100757</v>
      </c>
      <c r="Z61">
        <f t="shared" si="5"/>
        <v>49463</v>
      </c>
      <c r="AA61">
        <f t="shared" si="5"/>
        <v>36130</v>
      </c>
      <c r="AB61">
        <f t="shared" si="5"/>
        <v>801.3</v>
      </c>
      <c r="AC61">
        <f t="shared" si="5"/>
        <v>30.8</v>
      </c>
      <c r="AD61" s="31"/>
      <c r="AE61" s="31"/>
      <c r="AF61" s="31">
        <f t="shared" ref="AF61:AL61" si="6">SUM(AF10:AF13,AF14:AF17,AF18:AF20,AF21:AF24)</f>
        <v>3319.9900000000007</v>
      </c>
      <c r="AG61" s="31">
        <f t="shared" si="6"/>
        <v>11338.4</v>
      </c>
      <c r="AH61" s="31">
        <f t="shared" si="6"/>
        <v>10881.2</v>
      </c>
      <c r="AI61" s="31">
        <f t="shared" si="6"/>
        <v>14733.099999999999</v>
      </c>
      <c r="AJ61" s="31">
        <f t="shared" si="6"/>
        <v>6033.4</v>
      </c>
      <c r="AK61" s="31">
        <f t="shared" si="6"/>
        <v>3530.7999999999997</v>
      </c>
      <c r="AL61" s="31">
        <f t="shared" si="6"/>
        <v>1566.2</v>
      </c>
      <c r="AM61" s="31"/>
      <c r="AN61" s="31">
        <f t="shared" ref="AN61:AS61" si="7">SUM(AN10:AN13,AN14:AN17,AN18:AN20,AN21:AN24)</f>
        <v>21862.440000000002</v>
      </c>
      <c r="AO61" s="31">
        <f t="shared" si="7"/>
        <v>23458.451000000001</v>
      </c>
      <c r="AP61" s="31">
        <f t="shared" si="7"/>
        <v>23763</v>
      </c>
      <c r="AQ61" s="31">
        <f t="shared" si="7"/>
        <v>47869</v>
      </c>
      <c r="AR61" s="31">
        <f t="shared" si="7"/>
        <v>18894</v>
      </c>
      <c r="AS61" s="31">
        <f t="shared" si="7"/>
        <v>40.159999999999997</v>
      </c>
    </row>
    <row r="62" spans="1:45" x14ac:dyDescent="0.3">
      <c r="B62" s="31" t="s">
        <v>367</v>
      </c>
      <c r="C62" s="28">
        <f t="shared" ref="C62:AS62" si="8">SUM(C14:C17,C18:C20,C21:C24)</f>
        <v>4099</v>
      </c>
      <c r="D62" s="61">
        <f t="shared" si="8"/>
        <v>2849.8168498168466</v>
      </c>
      <c r="E62" s="28">
        <f t="shared" si="8"/>
        <v>0</v>
      </c>
      <c r="F62" s="28">
        <f t="shared" si="8"/>
        <v>3569</v>
      </c>
      <c r="G62" s="28">
        <f t="shared" si="8"/>
        <v>2978</v>
      </c>
      <c r="H62" s="28">
        <f t="shared" si="8"/>
        <v>1876.0000000000002</v>
      </c>
      <c r="I62" s="28">
        <f t="shared" si="8"/>
        <v>3770.07</v>
      </c>
      <c r="J62" s="28">
        <f t="shared" si="8"/>
        <v>37527</v>
      </c>
      <c r="K62" s="28">
        <f t="shared" si="8"/>
        <v>16935</v>
      </c>
      <c r="L62" s="28">
        <f t="shared" si="8"/>
        <v>1305</v>
      </c>
      <c r="M62" s="28">
        <f t="shared" si="8"/>
        <v>1244</v>
      </c>
      <c r="N62" s="28">
        <f t="shared" si="8"/>
        <v>2832.2000000000003</v>
      </c>
      <c r="O62" s="28">
        <f t="shared" si="8"/>
        <v>1666.3000000000002</v>
      </c>
      <c r="P62" s="28">
        <f t="shared" si="8"/>
        <v>0</v>
      </c>
      <c r="Q62" s="28">
        <f t="shared" si="8"/>
        <v>0</v>
      </c>
      <c r="R62" s="28">
        <f t="shared" si="8"/>
        <v>0</v>
      </c>
      <c r="S62" s="28">
        <f t="shared" si="8"/>
        <v>117.13999999999999</v>
      </c>
      <c r="T62" s="28">
        <f t="shared" si="8"/>
        <v>67.910000000000011</v>
      </c>
      <c r="U62" s="28">
        <f t="shared" si="8"/>
        <v>12.1</v>
      </c>
      <c r="V62" s="28">
        <f t="shared" si="8"/>
        <v>9.1669999999999998</v>
      </c>
      <c r="W62" s="28">
        <f t="shared" si="8"/>
        <v>2489.6</v>
      </c>
      <c r="X62" s="28">
        <f t="shared" si="8"/>
        <v>18335</v>
      </c>
      <c r="Y62" s="28">
        <f t="shared" si="8"/>
        <v>18757</v>
      </c>
      <c r="Z62" s="28">
        <f t="shared" si="8"/>
        <v>11363</v>
      </c>
      <c r="AA62" s="28">
        <f t="shared" si="8"/>
        <v>13930</v>
      </c>
      <c r="AB62" s="28">
        <f t="shared" si="8"/>
        <v>457</v>
      </c>
      <c r="AC62" s="28">
        <f t="shared" si="8"/>
        <v>6.5</v>
      </c>
      <c r="AD62" s="28">
        <f t="shared" si="8"/>
        <v>0</v>
      </c>
      <c r="AE62" s="28">
        <f t="shared" si="8"/>
        <v>0</v>
      </c>
      <c r="AF62" s="28">
        <f t="shared" si="8"/>
        <v>657.99</v>
      </c>
      <c r="AG62" s="28">
        <f t="shared" si="8"/>
        <v>2285.4</v>
      </c>
      <c r="AH62" s="28">
        <f t="shared" si="8"/>
        <v>2851.2</v>
      </c>
      <c r="AI62" s="28">
        <f t="shared" si="8"/>
        <v>3673.1000000000004</v>
      </c>
      <c r="AJ62" s="28">
        <f t="shared" si="8"/>
        <v>1434.4</v>
      </c>
      <c r="AK62" s="28">
        <f t="shared" si="8"/>
        <v>707.80000000000007</v>
      </c>
      <c r="AL62" s="28">
        <f t="shared" si="8"/>
        <v>1211.7</v>
      </c>
      <c r="AM62" s="28">
        <f t="shared" si="8"/>
        <v>0</v>
      </c>
      <c r="AN62" s="28">
        <f t="shared" si="8"/>
        <v>85.44</v>
      </c>
      <c r="AO62" s="28">
        <f t="shared" si="8"/>
        <v>4361.451</v>
      </c>
      <c r="AP62" s="28">
        <f t="shared" si="8"/>
        <v>13239</v>
      </c>
      <c r="AQ62" s="28">
        <f t="shared" si="8"/>
        <v>34283</v>
      </c>
      <c r="AR62" s="28">
        <f t="shared" si="8"/>
        <v>13171</v>
      </c>
      <c r="AS62" s="28">
        <f t="shared" si="8"/>
        <v>36.409999999999997</v>
      </c>
    </row>
    <row r="63" spans="1:45" x14ac:dyDescent="0.3">
      <c r="B63" t="s">
        <v>342</v>
      </c>
      <c r="C63" s="31">
        <f t="shared" ref="C63:AS63" si="9">C10</f>
        <v>2405</v>
      </c>
      <c r="D63" s="60">
        <f t="shared" si="9"/>
        <v>1494.5054945054901</v>
      </c>
      <c r="E63" s="31">
        <f t="shared" si="9"/>
        <v>0</v>
      </c>
      <c r="F63" s="31">
        <f t="shared" si="9"/>
        <v>1015</v>
      </c>
      <c r="G63" s="31">
        <f t="shared" si="9"/>
        <v>987</v>
      </c>
      <c r="H63" s="31">
        <f t="shared" si="9"/>
        <v>391.7</v>
      </c>
      <c r="I63" s="31">
        <f t="shared" si="9"/>
        <v>3664</v>
      </c>
      <c r="J63" s="31">
        <f t="shared" si="9"/>
        <v>2048</v>
      </c>
      <c r="K63" s="31">
        <f t="shared" si="9"/>
        <v>1250</v>
      </c>
      <c r="L63" s="31">
        <f t="shared" si="9"/>
        <v>31</v>
      </c>
      <c r="M63" s="31">
        <f t="shared" si="9"/>
        <v>511</v>
      </c>
      <c r="N63" s="31">
        <f t="shared" si="9"/>
        <v>952.7</v>
      </c>
      <c r="O63" s="31">
        <f t="shared" si="9"/>
        <v>951.6</v>
      </c>
      <c r="P63" s="31">
        <f t="shared" si="9"/>
        <v>0</v>
      </c>
      <c r="Q63" s="31">
        <f t="shared" si="9"/>
        <v>0</v>
      </c>
      <c r="R63" s="31" t="str">
        <f t="shared" si="9"/>
        <v>C1-Naphthalenes</v>
      </c>
      <c r="S63" s="31">
        <f t="shared" si="9"/>
        <v>2200</v>
      </c>
      <c r="T63" s="31">
        <f t="shared" si="9"/>
        <v>290</v>
      </c>
      <c r="U63" s="31">
        <f t="shared" si="9"/>
        <v>2800</v>
      </c>
      <c r="V63" s="31">
        <f t="shared" si="9"/>
        <v>680</v>
      </c>
      <c r="W63" s="31">
        <f t="shared" si="9"/>
        <v>780</v>
      </c>
      <c r="X63" s="31">
        <f t="shared" si="9"/>
        <v>18000</v>
      </c>
      <c r="Y63" s="31">
        <f t="shared" si="9"/>
        <v>23000</v>
      </c>
      <c r="Z63" s="31">
        <f t="shared" si="9"/>
        <v>11000</v>
      </c>
      <c r="AA63" s="31">
        <f t="shared" si="9"/>
        <v>6200</v>
      </c>
      <c r="AB63" s="31">
        <f t="shared" si="9"/>
        <v>2.2999999999999998</v>
      </c>
      <c r="AC63" s="31">
        <f t="shared" si="9"/>
        <v>2</v>
      </c>
      <c r="AD63" s="31">
        <f t="shared" si="9"/>
        <v>0</v>
      </c>
      <c r="AE63" s="31">
        <f t="shared" si="9"/>
        <v>0</v>
      </c>
      <c r="AF63" s="31">
        <f t="shared" si="9"/>
        <v>230</v>
      </c>
      <c r="AG63" s="31">
        <f t="shared" si="9"/>
        <v>2026</v>
      </c>
      <c r="AH63" s="31">
        <f t="shared" si="9"/>
        <v>1944</v>
      </c>
      <c r="AI63" s="31">
        <f t="shared" si="9"/>
        <v>2900</v>
      </c>
      <c r="AJ63" s="31">
        <f t="shared" si="9"/>
        <v>616</v>
      </c>
      <c r="AK63" s="31">
        <f t="shared" si="9"/>
        <v>377</v>
      </c>
      <c r="AL63" s="31">
        <f t="shared" si="9"/>
        <v>0</v>
      </c>
      <c r="AM63" s="31">
        <f t="shared" si="9"/>
        <v>0</v>
      </c>
      <c r="AN63" s="31">
        <f t="shared" si="9"/>
        <v>8085</v>
      </c>
      <c r="AO63" s="31">
        <f t="shared" si="9"/>
        <v>3614</v>
      </c>
      <c r="AP63" s="31">
        <f t="shared" si="9"/>
        <v>1624</v>
      </c>
      <c r="AQ63" s="31">
        <f t="shared" si="9"/>
        <v>2010</v>
      </c>
      <c r="AR63" s="31">
        <f t="shared" si="9"/>
        <v>1231</v>
      </c>
      <c r="AS63" s="31">
        <f t="shared" si="9"/>
        <v>0.78</v>
      </c>
    </row>
    <row r="64" spans="1:45" x14ac:dyDescent="0.3">
      <c r="B64" s="28" t="s">
        <v>341</v>
      </c>
      <c r="C64" s="28">
        <f t="shared" ref="C64:AS64" si="10">SUM(C10:C13)</f>
        <v>10216</v>
      </c>
      <c r="D64" s="61">
        <f t="shared" si="10"/>
        <v>5186.813186813175</v>
      </c>
      <c r="E64" s="28">
        <f t="shared" si="10"/>
        <v>0</v>
      </c>
      <c r="F64" s="28">
        <f t="shared" si="10"/>
        <v>5332</v>
      </c>
      <c r="G64" s="28">
        <f t="shared" si="10"/>
        <v>5253</v>
      </c>
      <c r="H64" s="28">
        <f t="shared" si="10"/>
        <v>3888.3999999999996</v>
      </c>
      <c r="I64" s="28">
        <f t="shared" si="10"/>
        <v>20032</v>
      </c>
      <c r="J64" s="28">
        <f t="shared" si="10"/>
        <v>14224</v>
      </c>
      <c r="K64" s="28">
        <f t="shared" si="10"/>
        <v>8419</v>
      </c>
      <c r="L64" s="28">
        <f t="shared" si="10"/>
        <v>476</v>
      </c>
      <c r="M64" s="28">
        <f t="shared" si="10"/>
        <v>3311</v>
      </c>
      <c r="N64" s="28">
        <f t="shared" si="10"/>
        <v>5104.8</v>
      </c>
      <c r="O64" s="28">
        <f t="shared" si="10"/>
        <v>4879.1000000000004</v>
      </c>
      <c r="P64" s="28">
        <f t="shared" si="10"/>
        <v>0</v>
      </c>
      <c r="Q64" s="28">
        <f t="shared" si="10"/>
        <v>0</v>
      </c>
      <c r="R64" s="28">
        <f t="shared" si="10"/>
        <v>0</v>
      </c>
      <c r="S64" s="28">
        <f t="shared" si="10"/>
        <v>2597</v>
      </c>
      <c r="T64" s="28">
        <f t="shared" si="10"/>
        <v>438</v>
      </c>
      <c r="U64" s="28">
        <f t="shared" si="10"/>
        <v>5411</v>
      </c>
      <c r="V64" s="28">
        <f t="shared" si="10"/>
        <v>1417</v>
      </c>
      <c r="W64" s="28">
        <f t="shared" si="10"/>
        <v>6280</v>
      </c>
      <c r="X64" s="28">
        <f t="shared" si="10"/>
        <v>66300</v>
      </c>
      <c r="Y64" s="28">
        <f t="shared" si="10"/>
        <v>82000</v>
      </c>
      <c r="Z64" s="28">
        <f t="shared" si="10"/>
        <v>38100</v>
      </c>
      <c r="AA64" s="28">
        <f t="shared" si="10"/>
        <v>22200</v>
      </c>
      <c r="AB64" s="28">
        <f t="shared" si="10"/>
        <v>344.3</v>
      </c>
      <c r="AC64" s="28">
        <f t="shared" si="10"/>
        <v>24.3</v>
      </c>
      <c r="AD64" s="28">
        <f t="shared" si="10"/>
        <v>0</v>
      </c>
      <c r="AE64" s="28">
        <f t="shared" si="10"/>
        <v>0</v>
      </c>
      <c r="AF64" s="28">
        <f t="shared" si="10"/>
        <v>2662</v>
      </c>
      <c r="AG64" s="28">
        <f t="shared" si="10"/>
        <v>9053</v>
      </c>
      <c r="AH64" s="28">
        <f t="shared" si="10"/>
        <v>8030</v>
      </c>
      <c r="AI64" s="28">
        <f t="shared" si="10"/>
        <v>11060</v>
      </c>
      <c r="AJ64" s="28">
        <f t="shared" si="10"/>
        <v>4599</v>
      </c>
      <c r="AK64" s="28">
        <f t="shared" si="10"/>
        <v>2823</v>
      </c>
      <c r="AL64" s="28">
        <f t="shared" si="10"/>
        <v>354.5</v>
      </c>
      <c r="AM64" s="28">
        <f t="shared" si="10"/>
        <v>0</v>
      </c>
      <c r="AN64" s="28">
        <f t="shared" si="10"/>
        <v>21777</v>
      </c>
      <c r="AO64" s="28">
        <f t="shared" si="10"/>
        <v>19097</v>
      </c>
      <c r="AP64" s="28">
        <f t="shared" si="10"/>
        <v>10524</v>
      </c>
      <c r="AQ64" s="28">
        <f t="shared" si="10"/>
        <v>13586</v>
      </c>
      <c r="AR64" s="28">
        <f t="shared" si="10"/>
        <v>5723</v>
      </c>
      <c r="AS64" s="28">
        <f t="shared" si="10"/>
        <v>3.75</v>
      </c>
    </row>
    <row r="65" spans="2:45" x14ac:dyDescent="0.3">
      <c r="B65" s="28" t="s">
        <v>343</v>
      </c>
      <c r="C65" s="28">
        <f t="shared" ref="C65:AS65" si="11">SUM(C11:C13)</f>
        <v>7811</v>
      </c>
      <c r="D65" s="61">
        <f t="shared" si="11"/>
        <v>3692.3076923076851</v>
      </c>
      <c r="E65" s="28">
        <f t="shared" si="11"/>
        <v>0</v>
      </c>
      <c r="F65" s="28">
        <f t="shared" si="11"/>
        <v>4317</v>
      </c>
      <c r="G65" s="28">
        <f t="shared" si="11"/>
        <v>4266</v>
      </c>
      <c r="H65" s="28">
        <f t="shared" si="11"/>
        <v>3496.7</v>
      </c>
      <c r="I65" s="28">
        <f t="shared" si="11"/>
        <v>16368</v>
      </c>
      <c r="J65" s="28">
        <f t="shared" si="11"/>
        <v>12176</v>
      </c>
      <c r="K65" s="28">
        <f t="shared" si="11"/>
        <v>7169</v>
      </c>
      <c r="L65" s="28">
        <f t="shared" si="11"/>
        <v>445</v>
      </c>
      <c r="M65" s="28">
        <f t="shared" si="11"/>
        <v>2800</v>
      </c>
      <c r="N65" s="28">
        <f t="shared" si="11"/>
        <v>4152.1000000000004</v>
      </c>
      <c r="O65" s="28">
        <f t="shared" si="11"/>
        <v>3927.5</v>
      </c>
      <c r="P65" s="28">
        <f t="shared" si="11"/>
        <v>0</v>
      </c>
      <c r="Q65" s="28">
        <f t="shared" si="11"/>
        <v>0</v>
      </c>
      <c r="R65" s="28">
        <f t="shared" si="11"/>
        <v>0</v>
      </c>
      <c r="S65" s="28">
        <f t="shared" si="11"/>
        <v>397</v>
      </c>
      <c r="T65" s="28">
        <f t="shared" si="11"/>
        <v>148</v>
      </c>
      <c r="U65" s="28">
        <f t="shared" si="11"/>
        <v>2611</v>
      </c>
      <c r="V65" s="28">
        <f t="shared" si="11"/>
        <v>737</v>
      </c>
      <c r="W65" s="28">
        <f t="shared" si="11"/>
        <v>5500</v>
      </c>
      <c r="X65" s="28">
        <f t="shared" si="11"/>
        <v>48300</v>
      </c>
      <c r="Y65" s="28">
        <f t="shared" si="11"/>
        <v>59000</v>
      </c>
      <c r="Z65" s="28">
        <f t="shared" si="11"/>
        <v>27100</v>
      </c>
      <c r="AA65" s="28">
        <f t="shared" si="11"/>
        <v>16000</v>
      </c>
      <c r="AB65" s="28">
        <f t="shared" si="11"/>
        <v>342</v>
      </c>
      <c r="AC65" s="28">
        <f t="shared" si="11"/>
        <v>22.3</v>
      </c>
      <c r="AD65" s="28">
        <f t="shared" si="11"/>
        <v>0</v>
      </c>
      <c r="AE65" s="28">
        <f t="shared" si="11"/>
        <v>0</v>
      </c>
      <c r="AF65" s="28">
        <f t="shared" si="11"/>
        <v>2432</v>
      </c>
      <c r="AG65" s="28">
        <f t="shared" si="11"/>
        <v>7027</v>
      </c>
      <c r="AH65" s="28">
        <f t="shared" si="11"/>
        <v>6086</v>
      </c>
      <c r="AI65" s="28">
        <f t="shared" si="11"/>
        <v>8160</v>
      </c>
      <c r="AJ65" s="28">
        <f t="shared" si="11"/>
        <v>3983</v>
      </c>
      <c r="AK65" s="28">
        <f t="shared" si="11"/>
        <v>2446</v>
      </c>
      <c r="AL65" s="28">
        <f t="shared" si="11"/>
        <v>354.5</v>
      </c>
      <c r="AM65" s="28">
        <f t="shared" si="11"/>
        <v>0</v>
      </c>
      <c r="AN65" s="28">
        <f t="shared" si="11"/>
        <v>13692</v>
      </c>
      <c r="AO65" s="28">
        <f t="shared" si="11"/>
        <v>15483</v>
      </c>
      <c r="AP65" s="28">
        <f t="shared" si="11"/>
        <v>8900</v>
      </c>
      <c r="AQ65" s="28">
        <f t="shared" si="11"/>
        <v>11576</v>
      </c>
      <c r="AR65" s="28">
        <f t="shared" si="11"/>
        <v>4492</v>
      </c>
      <c r="AS65" s="28">
        <f t="shared" si="11"/>
        <v>2.9699999999999998</v>
      </c>
    </row>
    <row r="77" spans="2:45" x14ac:dyDescent="0.3">
      <c r="F77" t="s">
        <v>57</v>
      </c>
      <c r="G77" t="s">
        <v>58</v>
      </c>
      <c r="H77" t="s">
        <v>574</v>
      </c>
      <c r="I77" t="s">
        <v>60</v>
      </c>
      <c r="J77" t="s">
        <v>575</v>
      </c>
      <c r="K77" t="s">
        <v>64</v>
      </c>
      <c r="L77" t="s">
        <v>65</v>
      </c>
      <c r="M77" t="s">
        <v>576</v>
      </c>
      <c r="N77" t="s">
        <v>577</v>
      </c>
      <c r="O77" t="s">
        <v>73</v>
      </c>
      <c r="P77" t="s">
        <v>74</v>
      </c>
      <c r="Q77" t="s">
        <v>578</v>
      </c>
      <c r="R77" t="s">
        <v>78</v>
      </c>
      <c r="S77" t="s">
        <v>79</v>
      </c>
      <c r="T77" t="s">
        <v>80</v>
      </c>
      <c r="X77" t="s">
        <v>579</v>
      </c>
      <c r="Y77" t="s">
        <v>580</v>
      </c>
      <c r="Z77" t="s">
        <v>581</v>
      </c>
      <c r="AA77" t="s">
        <v>582</v>
      </c>
    </row>
    <row r="78" spans="2:45" x14ac:dyDescent="0.3">
      <c r="B78" s="54"/>
      <c r="C78" s="28" t="s">
        <v>599</v>
      </c>
      <c r="E78" s="28" t="s">
        <v>335</v>
      </c>
      <c r="F78" t="s">
        <v>604</v>
      </c>
      <c r="G78" s="54" t="s">
        <v>605</v>
      </c>
      <c r="H78" s="54" t="s">
        <v>606</v>
      </c>
      <c r="I78" s="54" t="s">
        <v>607</v>
      </c>
      <c r="J78" t="s">
        <v>608</v>
      </c>
      <c r="K78" s="54" t="s">
        <v>609</v>
      </c>
      <c r="L78" s="54" t="s">
        <v>610</v>
      </c>
      <c r="M78" s="54" t="s">
        <v>611</v>
      </c>
      <c r="N78" t="s">
        <v>616</v>
      </c>
      <c r="O78" s="54" t="s">
        <v>617</v>
      </c>
      <c r="P78" s="54" t="s">
        <v>618</v>
      </c>
      <c r="Q78" t="s">
        <v>612</v>
      </c>
      <c r="R78" s="54" t="s">
        <v>613</v>
      </c>
      <c r="S78" s="54" t="s">
        <v>614</v>
      </c>
      <c r="T78" s="54" t="s">
        <v>615</v>
      </c>
      <c r="X78" t="s">
        <v>583</v>
      </c>
      <c r="Y78" t="s">
        <v>584</v>
      </c>
      <c r="Z78" t="s">
        <v>585</v>
      </c>
      <c r="AA78" t="s">
        <v>586</v>
      </c>
    </row>
    <row r="79" spans="2:45" x14ac:dyDescent="0.3">
      <c r="B79" s="54" t="s">
        <v>591</v>
      </c>
      <c r="C79" s="28" t="s">
        <v>600</v>
      </c>
      <c r="D79" s="61" t="s">
        <v>284</v>
      </c>
      <c r="E79" s="36">
        <v>53.2</v>
      </c>
      <c r="F79">
        <v>230</v>
      </c>
      <c r="G79">
        <v>734</v>
      </c>
      <c r="H79">
        <v>1077</v>
      </c>
      <c r="I79">
        <v>621</v>
      </c>
      <c r="J79">
        <v>77.3</v>
      </c>
      <c r="K79">
        <v>107</v>
      </c>
      <c r="L79">
        <v>86.5</v>
      </c>
      <c r="M79">
        <v>43.4</v>
      </c>
      <c r="N79">
        <v>85.8</v>
      </c>
      <c r="O79">
        <v>123</v>
      </c>
      <c r="P79">
        <v>120</v>
      </c>
      <c r="Q79">
        <v>6.9</v>
      </c>
      <c r="R79">
        <v>6.21</v>
      </c>
      <c r="S79">
        <v>1.88</v>
      </c>
      <c r="X79">
        <v>30.3</v>
      </c>
      <c r="Y79">
        <v>36.299999999999997</v>
      </c>
      <c r="Z79">
        <v>28.7</v>
      </c>
      <c r="AA79">
        <v>2.88</v>
      </c>
    </row>
    <row r="80" spans="2:45" x14ac:dyDescent="0.3">
      <c r="B80" s="54" t="s">
        <v>594</v>
      </c>
      <c r="C80" s="28" t="s">
        <v>600</v>
      </c>
      <c r="D80" s="60" t="s">
        <v>198</v>
      </c>
      <c r="E80" s="36">
        <v>37.520000000000003</v>
      </c>
      <c r="F80">
        <v>3664</v>
      </c>
      <c r="G80">
        <v>6927</v>
      </c>
      <c r="H80">
        <v>6636</v>
      </c>
      <c r="I80">
        <v>2805</v>
      </c>
      <c r="J80">
        <v>1000</v>
      </c>
      <c r="K80">
        <v>617</v>
      </c>
      <c r="L80">
        <v>185</v>
      </c>
      <c r="M80">
        <v>53</v>
      </c>
      <c r="N80">
        <v>799</v>
      </c>
      <c r="O80">
        <v>756</v>
      </c>
      <c r="P80">
        <v>360</v>
      </c>
      <c r="Q80">
        <v>0.03</v>
      </c>
      <c r="R80">
        <v>0.04</v>
      </c>
      <c r="S80">
        <v>0</v>
      </c>
      <c r="X80">
        <v>820</v>
      </c>
      <c r="Y80">
        <v>437</v>
      </c>
      <c r="Z80">
        <v>567</v>
      </c>
      <c r="AA80">
        <v>0.02</v>
      </c>
    </row>
    <row r="81" spans="2:27" x14ac:dyDescent="0.3">
      <c r="B81" s="54" t="s">
        <v>596</v>
      </c>
      <c r="C81" s="28" t="s">
        <v>600</v>
      </c>
      <c r="D81" s="61" t="s">
        <v>287</v>
      </c>
      <c r="E81" s="36">
        <v>37.200000000000003</v>
      </c>
      <c r="F81">
        <v>2026</v>
      </c>
      <c r="G81">
        <v>2920</v>
      </c>
      <c r="H81">
        <v>2563</v>
      </c>
      <c r="I81">
        <v>1544</v>
      </c>
      <c r="J81">
        <v>396</v>
      </c>
      <c r="K81">
        <v>460</v>
      </c>
      <c r="L81">
        <v>371</v>
      </c>
      <c r="M81">
        <v>229</v>
      </c>
      <c r="N81">
        <v>178</v>
      </c>
      <c r="O81">
        <v>300</v>
      </c>
      <c r="P81">
        <v>273</v>
      </c>
      <c r="Q81">
        <v>23.3</v>
      </c>
      <c r="R81">
        <v>31.1</v>
      </c>
      <c r="S81">
        <v>24</v>
      </c>
      <c r="X81">
        <v>806</v>
      </c>
      <c r="Y81">
        <v>145</v>
      </c>
      <c r="Z81">
        <v>58.9</v>
      </c>
      <c r="AA81">
        <v>8.07</v>
      </c>
    </row>
    <row r="82" spans="2:27" x14ac:dyDescent="0.3">
      <c r="B82" s="54" t="s">
        <v>595</v>
      </c>
      <c r="C82" s="28" t="s">
        <v>600</v>
      </c>
      <c r="D82" s="60" t="s">
        <v>195</v>
      </c>
      <c r="E82" s="36">
        <v>35.72</v>
      </c>
      <c r="F82">
        <v>987</v>
      </c>
      <c r="G82">
        <v>1769</v>
      </c>
      <c r="H82">
        <v>1734</v>
      </c>
      <c r="I82">
        <v>763</v>
      </c>
      <c r="J82">
        <v>559</v>
      </c>
      <c r="K82">
        <v>642</v>
      </c>
      <c r="L82">
        <v>456</v>
      </c>
      <c r="M82">
        <v>294</v>
      </c>
      <c r="N82">
        <v>189</v>
      </c>
      <c r="O82">
        <v>289</v>
      </c>
      <c r="P82">
        <v>295</v>
      </c>
      <c r="Q82">
        <v>62</v>
      </c>
      <c r="R82">
        <v>100</v>
      </c>
      <c r="S82">
        <v>92</v>
      </c>
      <c r="X82">
        <v>245</v>
      </c>
      <c r="Y82">
        <v>141</v>
      </c>
      <c r="Z82">
        <v>81</v>
      </c>
      <c r="AA82">
        <v>29</v>
      </c>
    </row>
    <row r="83" spans="2:27" x14ac:dyDescent="0.3">
      <c r="B83" s="54" t="s">
        <v>592</v>
      </c>
      <c r="C83" s="28" t="s">
        <v>600</v>
      </c>
      <c r="D83" s="60" t="s">
        <v>48</v>
      </c>
      <c r="E83" s="36">
        <v>35</v>
      </c>
      <c r="F83">
        <v>2405</v>
      </c>
      <c r="G83">
        <v>3335</v>
      </c>
      <c r="H83">
        <v>2445</v>
      </c>
      <c r="I83">
        <v>2031</v>
      </c>
      <c r="J83">
        <v>849</v>
      </c>
      <c r="K83">
        <v>853</v>
      </c>
      <c r="L83">
        <v>601</v>
      </c>
      <c r="M83">
        <v>330</v>
      </c>
      <c r="N83">
        <v>384</v>
      </c>
      <c r="O83">
        <v>409</v>
      </c>
      <c r="P83">
        <v>368</v>
      </c>
      <c r="Q83">
        <v>92</v>
      </c>
      <c r="R83">
        <v>105</v>
      </c>
      <c r="S83">
        <v>72</v>
      </c>
      <c r="T83">
        <v>36</v>
      </c>
      <c r="X83">
        <v>712</v>
      </c>
      <c r="Y83">
        <v>297</v>
      </c>
      <c r="Z83">
        <v>123</v>
      </c>
      <c r="AA83">
        <v>49</v>
      </c>
    </row>
    <row r="84" spans="2:27" s="60" customFormat="1" x14ac:dyDescent="0.3">
      <c r="B84" s="60" t="s">
        <v>593</v>
      </c>
      <c r="C84" s="61" t="s">
        <v>600</v>
      </c>
      <c r="D84" s="60" t="s">
        <v>48</v>
      </c>
      <c r="E84" s="62">
        <v>35</v>
      </c>
      <c r="F84" s="60">
        <v>1494.5054945054901</v>
      </c>
      <c r="G84" s="60">
        <v>1890.1098901098901</v>
      </c>
      <c r="H84" s="60">
        <v>1186.81318681318</v>
      </c>
      <c r="I84" s="60">
        <v>615.38461538461502</v>
      </c>
      <c r="J84" s="60">
        <v>567.76556776556697</v>
      </c>
      <c r="K84" s="60">
        <v>578.75457875457801</v>
      </c>
      <c r="L84" s="60">
        <v>358.97435897435798</v>
      </c>
      <c r="M84" s="60">
        <v>260.07326007325997</v>
      </c>
      <c r="N84" s="60">
        <v>201.46520146520101</v>
      </c>
      <c r="O84" s="60">
        <v>271.06227106227101</v>
      </c>
      <c r="P84" s="60">
        <v>238.09523809523799</v>
      </c>
      <c r="Q84" s="60">
        <v>95.238095238095198</v>
      </c>
      <c r="R84" s="60">
        <v>128.20512820512801</v>
      </c>
      <c r="S84" s="60">
        <v>84.249084249084206</v>
      </c>
      <c r="T84" s="60">
        <v>65.934065934065899</v>
      </c>
      <c r="X84" s="60">
        <v>681.318681318681</v>
      </c>
      <c r="Y84" s="60">
        <v>249.084249084248</v>
      </c>
      <c r="Z84" s="60">
        <v>87.912087912087898</v>
      </c>
      <c r="AA84" s="60">
        <v>47.619047619047599</v>
      </c>
    </row>
    <row r="85" spans="2:27" ht="14.5" customHeight="1" x14ac:dyDescent="0.3">
      <c r="B85" s="54" t="s">
        <v>594</v>
      </c>
      <c r="C85" s="28" t="s">
        <v>600</v>
      </c>
      <c r="D85" s="60" t="s">
        <v>205</v>
      </c>
      <c r="E85" s="36">
        <v>34.380000000000003</v>
      </c>
      <c r="F85">
        <v>951.6</v>
      </c>
      <c r="G85">
        <v>1451.7</v>
      </c>
      <c r="H85">
        <v>1546.3</v>
      </c>
      <c r="I85">
        <v>929.5</v>
      </c>
      <c r="J85">
        <v>358.9</v>
      </c>
      <c r="K85">
        <v>350.6</v>
      </c>
      <c r="L85">
        <v>264.5</v>
      </c>
      <c r="M85">
        <v>196.2</v>
      </c>
      <c r="N85">
        <v>108.6</v>
      </c>
      <c r="O85">
        <v>160.69999999999999</v>
      </c>
      <c r="P85">
        <v>140.19999999999999</v>
      </c>
      <c r="Q85">
        <v>22.5</v>
      </c>
      <c r="R85">
        <v>32.700000000000003</v>
      </c>
      <c r="S85">
        <v>31.4</v>
      </c>
      <c r="X85">
        <v>292.60000000000002</v>
      </c>
      <c r="Y85">
        <v>125.2</v>
      </c>
      <c r="Z85">
        <v>48.9</v>
      </c>
      <c r="AA85">
        <v>13.5</v>
      </c>
    </row>
    <row r="86" spans="2:27" x14ac:dyDescent="0.3">
      <c r="B86" s="54" t="s">
        <v>591</v>
      </c>
      <c r="C86" s="28" t="s">
        <v>600</v>
      </c>
      <c r="D86" s="61" t="s">
        <v>289</v>
      </c>
      <c r="E86" s="36">
        <v>34.1</v>
      </c>
      <c r="F86">
        <v>1944</v>
      </c>
      <c r="G86">
        <v>2869</v>
      </c>
      <c r="H86">
        <v>2151</v>
      </c>
      <c r="I86">
        <v>1066</v>
      </c>
      <c r="J86">
        <v>618</v>
      </c>
      <c r="K86">
        <v>604</v>
      </c>
      <c r="L86">
        <v>343</v>
      </c>
      <c r="M86">
        <v>208</v>
      </c>
      <c r="N86">
        <v>245</v>
      </c>
      <c r="O86">
        <v>266</v>
      </c>
      <c r="P86">
        <v>202</v>
      </c>
      <c r="Q86">
        <v>133</v>
      </c>
      <c r="R86">
        <v>135</v>
      </c>
      <c r="S86">
        <v>97.2</v>
      </c>
      <c r="X86">
        <v>579</v>
      </c>
      <c r="Y86">
        <v>296</v>
      </c>
      <c r="Z86">
        <v>106</v>
      </c>
      <c r="AA86">
        <v>55.7</v>
      </c>
    </row>
    <row r="87" spans="2:27" x14ac:dyDescent="0.3">
      <c r="B87" s="54" t="s">
        <v>594</v>
      </c>
      <c r="C87" s="28" t="s">
        <v>600</v>
      </c>
      <c r="D87" s="60" t="s">
        <v>204</v>
      </c>
      <c r="E87" s="36">
        <v>32.72</v>
      </c>
      <c r="F87">
        <v>952.7</v>
      </c>
      <c r="G87">
        <v>1500.1</v>
      </c>
      <c r="H87">
        <v>1765.7</v>
      </c>
      <c r="I87">
        <v>886.3</v>
      </c>
      <c r="J87">
        <v>569.79999999999995</v>
      </c>
      <c r="K87">
        <v>654.6</v>
      </c>
      <c r="L87">
        <v>427.4</v>
      </c>
      <c r="M87">
        <v>251.8</v>
      </c>
      <c r="N87">
        <v>181.7</v>
      </c>
      <c r="O87">
        <v>291.39999999999998</v>
      </c>
      <c r="P87">
        <v>246</v>
      </c>
      <c r="Q87">
        <v>58.8</v>
      </c>
      <c r="R87">
        <v>81.599999999999994</v>
      </c>
      <c r="S87">
        <v>69.099999999999994</v>
      </c>
      <c r="X87">
        <v>248.6</v>
      </c>
      <c r="Y87">
        <v>134.4</v>
      </c>
      <c r="Z87">
        <v>67.3</v>
      </c>
      <c r="AA87">
        <v>23</v>
      </c>
    </row>
    <row r="88" spans="2:27" x14ac:dyDescent="0.3">
      <c r="B88" s="54" t="s">
        <v>594</v>
      </c>
      <c r="C88" s="28" t="s">
        <v>600</v>
      </c>
      <c r="D88" s="60" t="s">
        <v>196</v>
      </c>
      <c r="E88" s="36">
        <v>31.3</v>
      </c>
      <c r="F88">
        <v>391.7</v>
      </c>
      <c r="G88">
        <v>1123.3</v>
      </c>
      <c r="H88">
        <v>1542.2</v>
      </c>
      <c r="I88">
        <v>831.2</v>
      </c>
      <c r="J88">
        <v>293</v>
      </c>
      <c r="K88">
        <v>384.5</v>
      </c>
      <c r="L88">
        <v>310.2</v>
      </c>
      <c r="M88">
        <v>257.10000000000002</v>
      </c>
      <c r="N88">
        <v>94.6</v>
      </c>
      <c r="O88">
        <v>183.9</v>
      </c>
      <c r="P88">
        <v>199</v>
      </c>
      <c r="Q88">
        <v>29.5</v>
      </c>
      <c r="R88">
        <v>54.4</v>
      </c>
      <c r="S88">
        <v>69.8</v>
      </c>
      <c r="X88">
        <v>50.3</v>
      </c>
      <c r="Y88">
        <v>51.2</v>
      </c>
      <c r="Z88">
        <v>35.200000000000003</v>
      </c>
      <c r="AA88">
        <v>13</v>
      </c>
    </row>
    <row r="89" spans="2:27" x14ac:dyDescent="0.3">
      <c r="B89" s="54" t="s">
        <v>594</v>
      </c>
      <c r="C89" s="28" t="s">
        <v>601</v>
      </c>
      <c r="D89" s="60" t="s">
        <v>193</v>
      </c>
      <c r="E89" s="37">
        <v>30.89</v>
      </c>
      <c r="F89">
        <v>1015</v>
      </c>
      <c r="G89">
        <v>1800</v>
      </c>
      <c r="H89">
        <v>1702</v>
      </c>
      <c r="I89">
        <v>815</v>
      </c>
      <c r="J89">
        <v>666</v>
      </c>
      <c r="K89">
        <v>710</v>
      </c>
      <c r="L89">
        <v>486</v>
      </c>
      <c r="M89">
        <v>296</v>
      </c>
      <c r="N89">
        <v>328</v>
      </c>
      <c r="O89">
        <v>447</v>
      </c>
      <c r="P89">
        <v>379</v>
      </c>
      <c r="Q89">
        <v>74</v>
      </c>
      <c r="R89">
        <v>99</v>
      </c>
      <c r="S89">
        <v>84</v>
      </c>
      <c r="X89">
        <v>261</v>
      </c>
      <c r="Y89">
        <v>209</v>
      </c>
      <c r="Z89">
        <v>142</v>
      </c>
      <c r="AA89">
        <v>48</v>
      </c>
    </row>
    <row r="90" spans="2:27" x14ac:dyDescent="0.3">
      <c r="B90" s="54" t="s">
        <v>591</v>
      </c>
      <c r="C90" s="28" t="s">
        <v>601</v>
      </c>
      <c r="D90" s="61" t="s">
        <v>293</v>
      </c>
      <c r="E90" s="37">
        <v>28.4</v>
      </c>
      <c r="F90">
        <v>2900</v>
      </c>
      <c r="G90">
        <v>3646</v>
      </c>
      <c r="H90">
        <v>2837</v>
      </c>
      <c r="I90">
        <v>1677</v>
      </c>
      <c r="J90">
        <v>585</v>
      </c>
      <c r="K90">
        <v>640</v>
      </c>
      <c r="L90">
        <v>543</v>
      </c>
      <c r="M90">
        <v>410</v>
      </c>
      <c r="N90">
        <v>347</v>
      </c>
      <c r="O90">
        <v>484</v>
      </c>
      <c r="P90">
        <v>396</v>
      </c>
      <c r="Q90">
        <v>77.3</v>
      </c>
      <c r="R90">
        <v>119</v>
      </c>
      <c r="S90">
        <v>71.8</v>
      </c>
      <c r="X90">
        <v>967</v>
      </c>
      <c r="Y90">
        <v>269</v>
      </c>
      <c r="Z90">
        <v>161</v>
      </c>
      <c r="AA90">
        <v>40.299999999999997</v>
      </c>
    </row>
    <row r="91" spans="2:27" x14ac:dyDescent="0.3">
      <c r="B91" s="54" t="s">
        <v>591</v>
      </c>
      <c r="C91" s="28" t="s">
        <v>601</v>
      </c>
      <c r="D91" s="61" t="s">
        <v>319</v>
      </c>
      <c r="E91" s="37">
        <v>27</v>
      </c>
      <c r="F91">
        <v>616</v>
      </c>
      <c r="G91">
        <v>1262</v>
      </c>
      <c r="H91">
        <v>1625</v>
      </c>
      <c r="I91">
        <v>1096</v>
      </c>
      <c r="J91">
        <v>169</v>
      </c>
      <c r="K91">
        <v>280</v>
      </c>
      <c r="L91">
        <v>224</v>
      </c>
      <c r="M91">
        <v>140</v>
      </c>
      <c r="N91">
        <v>80.5</v>
      </c>
      <c r="O91">
        <v>169</v>
      </c>
      <c r="P91">
        <v>277</v>
      </c>
      <c r="Q91">
        <v>21.9</v>
      </c>
      <c r="R91">
        <v>39.1</v>
      </c>
      <c r="S91">
        <v>33.9</v>
      </c>
      <c r="X91">
        <v>140</v>
      </c>
      <c r="Y91">
        <v>55.8</v>
      </c>
      <c r="Z91">
        <v>29.2</v>
      </c>
      <c r="AA91">
        <v>10.3</v>
      </c>
    </row>
    <row r="92" spans="2:27" x14ac:dyDescent="0.3">
      <c r="B92" s="54" t="s">
        <v>594</v>
      </c>
      <c r="C92" s="28" t="s">
        <v>602</v>
      </c>
      <c r="D92" s="60" t="s">
        <v>203</v>
      </c>
      <c r="E92" s="38">
        <v>19.32</v>
      </c>
      <c r="F92">
        <v>511</v>
      </c>
      <c r="G92">
        <v>1057</v>
      </c>
      <c r="H92">
        <v>1144</v>
      </c>
      <c r="I92">
        <v>599</v>
      </c>
      <c r="J92">
        <v>237</v>
      </c>
      <c r="K92">
        <v>319</v>
      </c>
      <c r="L92">
        <v>283</v>
      </c>
      <c r="M92">
        <v>179</v>
      </c>
      <c r="N92">
        <v>39</v>
      </c>
      <c r="O92">
        <v>68</v>
      </c>
      <c r="P92">
        <v>64</v>
      </c>
      <c r="Q92">
        <v>11</v>
      </c>
      <c r="R92">
        <v>22</v>
      </c>
      <c r="S92">
        <v>22</v>
      </c>
      <c r="X92">
        <v>111</v>
      </c>
      <c r="Y92">
        <v>60</v>
      </c>
      <c r="Z92">
        <v>13</v>
      </c>
      <c r="AA92">
        <v>5</v>
      </c>
    </row>
    <row r="93" spans="2:27" x14ac:dyDescent="0.3">
      <c r="B93" s="54" t="s">
        <v>591</v>
      </c>
      <c r="C93" s="28" t="s">
        <v>602</v>
      </c>
      <c r="D93" s="61" t="s">
        <v>296</v>
      </c>
      <c r="E93" s="38">
        <v>15.8</v>
      </c>
      <c r="F93">
        <v>377</v>
      </c>
      <c r="G93">
        <v>744</v>
      </c>
      <c r="H93">
        <v>882</v>
      </c>
      <c r="I93">
        <v>820</v>
      </c>
      <c r="J93">
        <v>91.4</v>
      </c>
      <c r="K93">
        <v>137</v>
      </c>
      <c r="L93">
        <v>109</v>
      </c>
      <c r="M93">
        <v>95.6</v>
      </c>
      <c r="N93">
        <v>38.5</v>
      </c>
      <c r="O93">
        <v>80.5</v>
      </c>
      <c r="P93">
        <v>78.7</v>
      </c>
      <c r="Q93">
        <v>19.7</v>
      </c>
      <c r="R93">
        <v>33</v>
      </c>
      <c r="S93">
        <v>24.4</v>
      </c>
      <c r="X93">
        <v>85.8</v>
      </c>
      <c r="Y93">
        <v>27.3</v>
      </c>
      <c r="Z93">
        <v>10.199999999999999</v>
      </c>
      <c r="AA93">
        <v>10.5</v>
      </c>
    </row>
    <row r="94" spans="2:27" x14ac:dyDescent="0.3">
      <c r="B94" s="54" t="s">
        <v>594</v>
      </c>
      <c r="C94" s="28" t="s">
        <v>602</v>
      </c>
      <c r="D94" s="60" t="s">
        <v>200</v>
      </c>
      <c r="E94" s="38">
        <v>11.55</v>
      </c>
      <c r="F94">
        <v>2048</v>
      </c>
      <c r="G94">
        <v>4790</v>
      </c>
      <c r="H94">
        <v>5001</v>
      </c>
      <c r="I94">
        <v>2385</v>
      </c>
      <c r="J94">
        <v>4274</v>
      </c>
      <c r="K94">
        <v>6974</v>
      </c>
      <c r="L94">
        <v>6610</v>
      </c>
      <c r="M94">
        <v>4074</v>
      </c>
      <c r="N94">
        <v>1021</v>
      </c>
      <c r="O94">
        <v>1809</v>
      </c>
      <c r="P94">
        <v>1799</v>
      </c>
      <c r="Q94">
        <v>2808</v>
      </c>
      <c r="R94">
        <v>4676</v>
      </c>
      <c r="S94">
        <v>3482</v>
      </c>
      <c r="X94">
        <v>236</v>
      </c>
      <c r="Y94">
        <v>848</v>
      </c>
      <c r="Z94">
        <v>357</v>
      </c>
      <c r="AA94">
        <v>920</v>
      </c>
    </row>
    <row r="95" spans="2:27" x14ac:dyDescent="0.3">
      <c r="B95" s="54" t="s">
        <v>594</v>
      </c>
      <c r="C95" s="28" t="s">
        <v>602</v>
      </c>
      <c r="D95" s="60" t="s">
        <v>201</v>
      </c>
      <c r="E95" s="38">
        <v>11.47</v>
      </c>
      <c r="F95">
        <v>1250</v>
      </c>
      <c r="G95">
        <v>2861</v>
      </c>
      <c r="H95">
        <v>2886</v>
      </c>
      <c r="I95">
        <v>1422</v>
      </c>
      <c r="J95">
        <v>1870</v>
      </c>
      <c r="K95">
        <v>2910</v>
      </c>
      <c r="L95">
        <v>3107</v>
      </c>
      <c r="M95">
        <v>2211</v>
      </c>
      <c r="N95">
        <v>565</v>
      </c>
      <c r="O95">
        <v>978</v>
      </c>
      <c r="P95">
        <v>936</v>
      </c>
      <c r="Q95">
        <v>1173</v>
      </c>
      <c r="R95">
        <v>1806</v>
      </c>
      <c r="S95">
        <v>1379</v>
      </c>
      <c r="X95">
        <v>140</v>
      </c>
      <c r="Y95">
        <v>422</v>
      </c>
      <c r="Z95">
        <v>224</v>
      </c>
      <c r="AA95">
        <v>376</v>
      </c>
    </row>
    <row r="96" spans="2:27" x14ac:dyDescent="0.3">
      <c r="B96" s="54" t="s">
        <v>594</v>
      </c>
      <c r="C96" s="28" t="s">
        <v>602</v>
      </c>
      <c r="D96" s="60" t="s">
        <v>202</v>
      </c>
      <c r="E96" s="38">
        <v>8.6300000000000008</v>
      </c>
      <c r="F96">
        <v>31</v>
      </c>
      <c r="G96">
        <v>90</v>
      </c>
      <c r="H96">
        <v>143</v>
      </c>
      <c r="I96">
        <v>212</v>
      </c>
      <c r="J96">
        <v>86</v>
      </c>
      <c r="K96">
        <v>231</v>
      </c>
      <c r="L96">
        <v>286</v>
      </c>
      <c r="M96">
        <v>183</v>
      </c>
      <c r="N96">
        <v>41</v>
      </c>
      <c r="O96">
        <v>145</v>
      </c>
      <c r="P96">
        <v>212</v>
      </c>
      <c r="Q96">
        <v>24</v>
      </c>
      <c r="R96">
        <v>45</v>
      </c>
      <c r="S96">
        <v>52</v>
      </c>
      <c r="X96">
        <v>5</v>
      </c>
      <c r="Y96">
        <v>28</v>
      </c>
      <c r="Z96">
        <v>12</v>
      </c>
      <c r="AA96">
        <v>10</v>
      </c>
    </row>
    <row r="97" spans="2:27" x14ac:dyDescent="0.3">
      <c r="B97" s="54" t="s">
        <v>591</v>
      </c>
      <c r="C97" s="28" t="s">
        <v>603</v>
      </c>
      <c r="D97" s="61" t="s">
        <v>299</v>
      </c>
      <c r="E97" s="28" t="s">
        <v>389</v>
      </c>
      <c r="F97">
        <v>0</v>
      </c>
      <c r="G97">
        <v>11.5</v>
      </c>
      <c r="H97">
        <v>103</v>
      </c>
      <c r="I97">
        <v>240</v>
      </c>
      <c r="J97">
        <v>95.5</v>
      </c>
      <c r="K97">
        <v>214</v>
      </c>
      <c r="L97">
        <v>274</v>
      </c>
      <c r="M97">
        <v>198</v>
      </c>
      <c r="N97">
        <v>23.7</v>
      </c>
      <c r="O97">
        <v>77.7</v>
      </c>
      <c r="P97">
        <v>128</v>
      </c>
      <c r="Q97">
        <v>40.299999999999997</v>
      </c>
      <c r="R97">
        <v>84.6</v>
      </c>
      <c r="S97">
        <v>75.900000000000006</v>
      </c>
      <c r="X97">
        <v>0</v>
      </c>
      <c r="Y97">
        <v>10.1</v>
      </c>
      <c r="Z97">
        <v>1.55</v>
      </c>
      <c r="AA97">
        <v>15.9</v>
      </c>
    </row>
    <row r="101" spans="2:27" x14ac:dyDescent="0.3">
      <c r="B101" s="54" t="s">
        <v>591</v>
      </c>
      <c r="D101" s="60" t="s">
        <v>301</v>
      </c>
      <c r="E101" s="28">
        <v>41.8</v>
      </c>
      <c r="F101">
        <v>8085</v>
      </c>
      <c r="G101">
        <v>9497</v>
      </c>
      <c r="H101">
        <v>3562</v>
      </c>
      <c r="I101">
        <v>633</v>
      </c>
      <c r="J101">
        <v>7.03</v>
      </c>
      <c r="K101">
        <v>8.11</v>
      </c>
      <c r="L101">
        <v>0</v>
      </c>
      <c r="M101">
        <v>0</v>
      </c>
      <c r="N101">
        <v>55.4</v>
      </c>
      <c r="O101">
        <v>14.9</v>
      </c>
      <c r="P101">
        <v>0</v>
      </c>
      <c r="Q101">
        <v>0</v>
      </c>
      <c r="R101">
        <v>0</v>
      </c>
      <c r="S101">
        <v>0</v>
      </c>
      <c r="X101">
        <v>2497</v>
      </c>
      <c r="Y101">
        <v>9.6300000000000008</v>
      </c>
      <c r="Z101">
        <v>160</v>
      </c>
      <c r="AA101">
        <v>0</v>
      </c>
    </row>
    <row r="102" spans="2:27" x14ac:dyDescent="0.3">
      <c r="B102" s="54" t="s">
        <v>596</v>
      </c>
      <c r="D102" s="60" t="s">
        <v>587</v>
      </c>
      <c r="E102" s="28">
        <v>37.5</v>
      </c>
      <c r="F102">
        <v>3614</v>
      </c>
      <c r="G102">
        <v>6328</v>
      </c>
      <c r="H102">
        <v>6077</v>
      </c>
      <c r="I102">
        <v>3078</v>
      </c>
      <c r="J102">
        <v>1.081</v>
      </c>
      <c r="K102">
        <v>1041</v>
      </c>
      <c r="L102">
        <v>564</v>
      </c>
      <c r="M102">
        <v>203</v>
      </c>
      <c r="N102">
        <v>775</v>
      </c>
      <c r="O102">
        <v>992</v>
      </c>
      <c r="P102">
        <v>775</v>
      </c>
      <c r="Q102">
        <v>5.65</v>
      </c>
      <c r="R102">
        <v>4.72</v>
      </c>
      <c r="S102">
        <v>0</v>
      </c>
      <c r="X102">
        <v>933</v>
      </c>
      <c r="Y102">
        <v>359</v>
      </c>
      <c r="Z102">
        <v>316</v>
      </c>
      <c r="AA102">
        <v>2.58</v>
      </c>
    </row>
    <row r="103" spans="2:27" x14ac:dyDescent="0.3">
      <c r="B103" s="54" t="s">
        <v>591</v>
      </c>
      <c r="D103" s="60" t="s">
        <v>254</v>
      </c>
      <c r="E103" s="28">
        <v>14.7</v>
      </c>
      <c r="F103">
        <v>1624</v>
      </c>
      <c r="G103">
        <v>3611</v>
      </c>
      <c r="H103">
        <v>3620</v>
      </c>
      <c r="I103">
        <v>1669</v>
      </c>
      <c r="J103">
        <v>1762</v>
      </c>
      <c r="K103">
        <v>2547</v>
      </c>
      <c r="L103">
        <v>2676</v>
      </c>
      <c r="M103">
        <v>1335</v>
      </c>
      <c r="N103">
        <v>543</v>
      </c>
      <c r="O103">
        <v>785</v>
      </c>
      <c r="P103">
        <v>699</v>
      </c>
      <c r="Q103">
        <v>932</v>
      </c>
      <c r="R103">
        <v>1195</v>
      </c>
      <c r="S103">
        <v>765</v>
      </c>
      <c r="X103">
        <v>182</v>
      </c>
      <c r="Y103">
        <v>498</v>
      </c>
      <c r="Z103">
        <v>221</v>
      </c>
      <c r="AA103">
        <v>290</v>
      </c>
    </row>
    <row r="104" spans="2:27" x14ac:dyDescent="0.3">
      <c r="B104" s="54" t="s">
        <v>591</v>
      </c>
      <c r="D104" s="60" t="s">
        <v>588</v>
      </c>
      <c r="E104" s="28">
        <v>11.55</v>
      </c>
      <c r="F104">
        <v>2010</v>
      </c>
      <c r="G104">
        <v>4325</v>
      </c>
      <c r="H104">
        <v>4450</v>
      </c>
      <c r="I104">
        <v>2801</v>
      </c>
      <c r="J104">
        <v>3836</v>
      </c>
      <c r="K104">
        <v>6668</v>
      </c>
      <c r="L104">
        <v>6444</v>
      </c>
      <c r="M104">
        <v>4533</v>
      </c>
      <c r="N104">
        <v>525</v>
      </c>
      <c r="O104">
        <v>1058</v>
      </c>
      <c r="P104">
        <v>1349</v>
      </c>
      <c r="Q104">
        <v>2955</v>
      </c>
      <c r="R104">
        <v>3912</v>
      </c>
      <c r="S104">
        <v>3003</v>
      </c>
      <c r="X104">
        <v>281</v>
      </c>
      <c r="Y104">
        <v>811</v>
      </c>
      <c r="Z104">
        <v>160</v>
      </c>
      <c r="AA104">
        <v>690</v>
      </c>
    </row>
    <row r="105" spans="2:27" x14ac:dyDescent="0.3">
      <c r="B105" s="54" t="s">
        <v>591</v>
      </c>
      <c r="D105" s="60" t="s">
        <v>589</v>
      </c>
      <c r="E105" s="28" t="s">
        <v>334</v>
      </c>
      <c r="F105">
        <v>1231</v>
      </c>
      <c r="G105">
        <v>1857</v>
      </c>
      <c r="H105">
        <v>1665</v>
      </c>
      <c r="I105">
        <v>970</v>
      </c>
      <c r="J105">
        <v>1837</v>
      </c>
      <c r="K105">
        <v>2653</v>
      </c>
      <c r="L105">
        <v>2297</v>
      </c>
      <c r="M105">
        <v>1672</v>
      </c>
      <c r="N105">
        <v>265</v>
      </c>
      <c r="O105">
        <v>451</v>
      </c>
      <c r="P105">
        <v>510</v>
      </c>
      <c r="Q105">
        <v>1017</v>
      </c>
      <c r="R105">
        <v>1372</v>
      </c>
      <c r="S105">
        <v>1097</v>
      </c>
      <c r="X105">
        <v>342</v>
      </c>
      <c r="Y105">
        <v>445</v>
      </c>
      <c r="Z105">
        <v>104</v>
      </c>
      <c r="AA105">
        <v>277</v>
      </c>
    </row>
    <row r="106" spans="2:27" x14ac:dyDescent="0.3">
      <c r="B106" s="54" t="s">
        <v>591</v>
      </c>
      <c r="D106" s="60" t="s">
        <v>302</v>
      </c>
      <c r="E106" s="28">
        <v>28.3</v>
      </c>
      <c r="F106">
        <v>0.78</v>
      </c>
      <c r="G106">
        <v>1.17</v>
      </c>
      <c r="H106">
        <v>1.01</v>
      </c>
      <c r="I106">
        <v>0.79</v>
      </c>
      <c r="J106">
        <v>2.27</v>
      </c>
      <c r="K106">
        <v>10</v>
      </c>
      <c r="L106">
        <v>9.51</v>
      </c>
      <c r="M106">
        <v>5.27</v>
      </c>
      <c r="N106">
        <v>1.04</v>
      </c>
      <c r="O106">
        <v>2.13</v>
      </c>
      <c r="P106">
        <v>6.19</v>
      </c>
      <c r="Q106">
        <v>0</v>
      </c>
      <c r="R106">
        <v>0</v>
      </c>
      <c r="S106">
        <v>0</v>
      </c>
      <c r="X106">
        <v>0.39</v>
      </c>
      <c r="Y106">
        <v>0.22</v>
      </c>
      <c r="Z106">
        <v>0.65</v>
      </c>
      <c r="AA106">
        <v>0.13</v>
      </c>
    </row>
    <row r="107" spans="2:27" x14ac:dyDescent="0.3">
      <c r="B107" s="28"/>
      <c r="F107" t="s">
        <v>182</v>
      </c>
      <c r="G107" t="s">
        <v>179</v>
      </c>
      <c r="H107" t="s">
        <v>180</v>
      </c>
      <c r="I107" t="s">
        <v>181</v>
      </c>
      <c r="J107" t="s">
        <v>183</v>
      </c>
      <c r="K107" t="s">
        <v>184</v>
      </c>
      <c r="L107" t="s">
        <v>185</v>
      </c>
      <c r="M107" t="s">
        <v>186</v>
      </c>
      <c r="N107" t="s">
        <v>187</v>
      </c>
      <c r="O107" t="s">
        <v>188</v>
      </c>
      <c r="P107" t="s">
        <v>189</v>
      </c>
      <c r="Q107" t="s">
        <v>590</v>
      </c>
      <c r="R107" t="s">
        <v>192</v>
      </c>
      <c r="S107" t="s">
        <v>190</v>
      </c>
      <c r="X107" t="s">
        <v>579</v>
      </c>
      <c r="Y107" t="s">
        <v>580</v>
      </c>
      <c r="Z107" t="s">
        <v>581</v>
      </c>
      <c r="AA107" t="s">
        <v>582</v>
      </c>
    </row>
    <row r="108" spans="2:27" x14ac:dyDescent="0.3">
      <c r="B108" t="s">
        <v>597</v>
      </c>
      <c r="D108" s="60" t="s">
        <v>168</v>
      </c>
      <c r="E108" s="28" t="s">
        <v>337</v>
      </c>
      <c r="F108">
        <v>2200</v>
      </c>
      <c r="G108">
        <v>280</v>
      </c>
      <c r="H108">
        <v>92</v>
      </c>
      <c r="I108">
        <v>25</v>
      </c>
      <c r="J108">
        <v>32</v>
      </c>
      <c r="K108">
        <v>13</v>
      </c>
      <c r="L108">
        <v>2.8</v>
      </c>
      <c r="M108" t="s">
        <v>178</v>
      </c>
      <c r="N108">
        <v>30</v>
      </c>
      <c r="O108">
        <v>30</v>
      </c>
      <c r="P108">
        <v>9.1</v>
      </c>
      <c r="Q108">
        <v>0.24</v>
      </c>
      <c r="R108" t="s">
        <v>178</v>
      </c>
      <c r="S108" t="s">
        <v>178</v>
      </c>
      <c r="X108">
        <v>2800</v>
      </c>
      <c r="Y108">
        <v>16</v>
      </c>
      <c r="Z108">
        <v>14</v>
      </c>
      <c r="AA108">
        <v>0.36</v>
      </c>
    </row>
    <row r="109" spans="2:27" x14ac:dyDescent="0.3">
      <c r="B109" s="54" t="s">
        <v>598</v>
      </c>
      <c r="D109" s="60" t="s">
        <v>169</v>
      </c>
      <c r="E109" s="28" t="s">
        <v>389</v>
      </c>
      <c r="F109">
        <v>290</v>
      </c>
      <c r="G109">
        <v>99</v>
      </c>
      <c r="H109">
        <v>37</v>
      </c>
      <c r="I109">
        <v>12</v>
      </c>
      <c r="J109">
        <v>17</v>
      </c>
      <c r="K109">
        <v>7</v>
      </c>
      <c r="L109">
        <v>1.7</v>
      </c>
      <c r="M109" t="s">
        <v>178</v>
      </c>
      <c r="N109">
        <v>18</v>
      </c>
      <c r="O109">
        <v>18</v>
      </c>
      <c r="P109">
        <v>5.9</v>
      </c>
      <c r="Q109">
        <v>0.31</v>
      </c>
      <c r="R109" t="s">
        <v>178</v>
      </c>
      <c r="S109" t="s">
        <v>178</v>
      </c>
      <c r="X109">
        <v>490</v>
      </c>
      <c r="Y109">
        <v>8.6999999999999993</v>
      </c>
      <c r="Z109">
        <v>7.7</v>
      </c>
      <c r="AA109">
        <v>0.36</v>
      </c>
    </row>
    <row r="110" spans="2:27" x14ac:dyDescent="0.3">
      <c r="B110" s="54" t="s">
        <v>597</v>
      </c>
      <c r="D110" s="60" t="s">
        <v>170</v>
      </c>
      <c r="E110" s="28" t="s">
        <v>336</v>
      </c>
      <c r="F110">
        <v>2800</v>
      </c>
      <c r="G110">
        <v>2000</v>
      </c>
      <c r="H110">
        <v>530</v>
      </c>
      <c r="I110">
        <v>81</v>
      </c>
      <c r="J110">
        <v>0.5</v>
      </c>
      <c r="K110" t="s">
        <v>178</v>
      </c>
      <c r="L110" t="s">
        <v>178</v>
      </c>
      <c r="M110" t="s">
        <v>178</v>
      </c>
      <c r="N110">
        <v>7.1</v>
      </c>
      <c r="O110">
        <v>4.5</v>
      </c>
      <c r="P110" t="s">
        <v>178</v>
      </c>
      <c r="Q110" t="s">
        <v>178</v>
      </c>
      <c r="R110" t="s">
        <v>178</v>
      </c>
      <c r="S110" t="s">
        <v>178</v>
      </c>
      <c r="X110">
        <v>750</v>
      </c>
      <c r="Y110">
        <v>0.82</v>
      </c>
      <c r="Z110">
        <v>22</v>
      </c>
      <c r="AA110">
        <v>0.36</v>
      </c>
    </row>
    <row r="111" spans="2:27" x14ac:dyDescent="0.3">
      <c r="B111" s="54" t="s">
        <v>597</v>
      </c>
      <c r="D111" s="60" t="s">
        <v>166</v>
      </c>
      <c r="E111" s="28" t="s">
        <v>338</v>
      </c>
      <c r="F111">
        <v>680</v>
      </c>
      <c r="G111">
        <v>510</v>
      </c>
      <c r="H111">
        <v>190</v>
      </c>
      <c r="I111">
        <v>37</v>
      </c>
      <c r="J111">
        <v>1</v>
      </c>
      <c r="K111">
        <v>0.3</v>
      </c>
      <c r="L111">
        <v>6.7000000000000004E-2</v>
      </c>
      <c r="M111" t="s">
        <v>178</v>
      </c>
      <c r="N111">
        <v>4.0999999999999996</v>
      </c>
      <c r="O111">
        <v>3.7</v>
      </c>
      <c r="P111" t="s">
        <v>178</v>
      </c>
      <c r="Q111" t="s">
        <v>178</v>
      </c>
      <c r="R111" t="s">
        <v>178</v>
      </c>
      <c r="S111" t="s">
        <v>178</v>
      </c>
      <c r="X111">
        <v>250</v>
      </c>
      <c r="Y111">
        <v>0.91</v>
      </c>
      <c r="Z111">
        <v>8</v>
      </c>
      <c r="AA111">
        <v>0.36</v>
      </c>
    </row>
    <row r="112" spans="2:27" x14ac:dyDescent="0.3">
      <c r="B112" s="54" t="s">
        <v>597</v>
      </c>
      <c r="D112" s="60" t="s">
        <v>171</v>
      </c>
      <c r="E112" s="28" t="s">
        <v>339</v>
      </c>
      <c r="F112">
        <v>780</v>
      </c>
      <c r="G112">
        <v>1700</v>
      </c>
      <c r="H112">
        <v>2300</v>
      </c>
      <c r="I112">
        <v>1500</v>
      </c>
      <c r="J112">
        <v>390</v>
      </c>
      <c r="K112">
        <v>470</v>
      </c>
      <c r="L112">
        <v>320</v>
      </c>
      <c r="M112">
        <v>130</v>
      </c>
      <c r="N112">
        <v>200</v>
      </c>
      <c r="O112">
        <v>530</v>
      </c>
      <c r="P112">
        <v>410</v>
      </c>
      <c r="Q112">
        <v>11</v>
      </c>
      <c r="R112">
        <v>26</v>
      </c>
      <c r="S112">
        <v>2.6</v>
      </c>
      <c r="X112">
        <v>120</v>
      </c>
      <c r="Y112">
        <v>91</v>
      </c>
      <c r="Z112">
        <v>44</v>
      </c>
      <c r="AA112">
        <v>1</v>
      </c>
    </row>
    <row r="113" spans="2:27" x14ac:dyDescent="0.3">
      <c r="B113" s="54" t="s">
        <v>597</v>
      </c>
      <c r="D113" s="60" t="s">
        <v>172</v>
      </c>
      <c r="E113" s="28">
        <v>35</v>
      </c>
      <c r="F113">
        <v>18000</v>
      </c>
      <c r="G113">
        <v>21000</v>
      </c>
      <c r="H113">
        <v>18000</v>
      </c>
      <c r="I113">
        <v>9300</v>
      </c>
      <c r="J113">
        <v>5200</v>
      </c>
      <c r="K113">
        <v>4000</v>
      </c>
      <c r="L113">
        <v>2000</v>
      </c>
      <c r="M113">
        <v>620</v>
      </c>
      <c r="N113">
        <v>1600</v>
      </c>
      <c r="O113">
        <v>2800</v>
      </c>
      <c r="P113">
        <v>1700</v>
      </c>
      <c r="Q113">
        <v>91</v>
      </c>
      <c r="R113">
        <v>230</v>
      </c>
      <c r="S113">
        <v>94</v>
      </c>
      <c r="X113">
        <v>2600</v>
      </c>
      <c r="Y113">
        <v>1700</v>
      </c>
      <c r="Z113">
        <v>610</v>
      </c>
      <c r="AA113">
        <v>16</v>
      </c>
    </row>
    <row r="114" spans="2:27" x14ac:dyDescent="0.3">
      <c r="B114" s="54" t="s">
        <v>597</v>
      </c>
      <c r="D114" s="60" t="s">
        <v>167</v>
      </c>
      <c r="E114" s="28" t="s">
        <v>389</v>
      </c>
      <c r="F114">
        <v>23000</v>
      </c>
      <c r="G114">
        <v>26000</v>
      </c>
      <c r="H114">
        <v>22000</v>
      </c>
      <c r="I114">
        <v>11000</v>
      </c>
      <c r="J114">
        <v>6100</v>
      </c>
      <c r="K114">
        <v>3900</v>
      </c>
      <c r="L114">
        <v>1300</v>
      </c>
      <c r="M114">
        <v>290</v>
      </c>
      <c r="N114">
        <v>1900</v>
      </c>
      <c r="O114">
        <v>3400</v>
      </c>
      <c r="P114">
        <v>1800</v>
      </c>
      <c r="Q114">
        <v>13</v>
      </c>
      <c r="R114">
        <v>41</v>
      </c>
      <c r="S114">
        <v>13</v>
      </c>
      <c r="X114">
        <v>4300</v>
      </c>
      <c r="Y114">
        <v>2300</v>
      </c>
      <c r="Z114">
        <v>730</v>
      </c>
      <c r="AA114">
        <v>2.9</v>
      </c>
    </row>
    <row r="115" spans="2:27" x14ac:dyDescent="0.3">
      <c r="B115" s="54" t="s">
        <v>597</v>
      </c>
      <c r="D115" s="60" t="s">
        <v>173</v>
      </c>
      <c r="E115" s="28" t="s">
        <v>389</v>
      </c>
      <c r="F115">
        <v>11000</v>
      </c>
      <c r="G115">
        <v>12000</v>
      </c>
      <c r="H115">
        <v>9800</v>
      </c>
      <c r="I115">
        <v>5300</v>
      </c>
      <c r="J115">
        <v>3100</v>
      </c>
      <c r="K115">
        <v>2200</v>
      </c>
      <c r="L115">
        <v>970</v>
      </c>
      <c r="M115">
        <v>270</v>
      </c>
      <c r="N115">
        <v>1200</v>
      </c>
      <c r="O115">
        <v>2200</v>
      </c>
      <c r="P115">
        <v>1300</v>
      </c>
      <c r="Q115">
        <v>33</v>
      </c>
      <c r="R115">
        <v>68</v>
      </c>
      <c r="S115">
        <v>22</v>
      </c>
      <c r="X115">
        <v>1900</v>
      </c>
      <c r="Y115">
        <v>1100</v>
      </c>
      <c r="Z115">
        <v>450</v>
      </c>
      <c r="AA115">
        <v>4.0999999999999996</v>
      </c>
    </row>
    <row r="116" spans="2:27" x14ac:dyDescent="0.3">
      <c r="B116" s="54" t="s">
        <v>597</v>
      </c>
      <c r="D116" s="60" t="s">
        <v>174</v>
      </c>
      <c r="E116" s="28">
        <v>19</v>
      </c>
      <c r="F116">
        <v>6200</v>
      </c>
      <c r="G116">
        <v>7200</v>
      </c>
      <c r="H116">
        <v>5800</v>
      </c>
      <c r="I116">
        <v>3000</v>
      </c>
      <c r="J116">
        <v>3800</v>
      </c>
      <c r="K116">
        <v>2200</v>
      </c>
      <c r="L116">
        <v>1400</v>
      </c>
      <c r="M116">
        <v>560</v>
      </c>
      <c r="N116">
        <v>760</v>
      </c>
      <c r="O116">
        <v>1600</v>
      </c>
      <c r="P116">
        <v>810</v>
      </c>
      <c r="Q116">
        <v>480</v>
      </c>
      <c r="R116">
        <v>1600</v>
      </c>
      <c r="S116">
        <v>720</v>
      </c>
      <c r="X116">
        <v>1100</v>
      </c>
      <c r="Y116">
        <v>2500</v>
      </c>
      <c r="Z116">
        <v>280</v>
      </c>
      <c r="AA116">
        <v>57</v>
      </c>
    </row>
    <row r="117" spans="2:27" x14ac:dyDescent="0.3">
      <c r="B117" s="54" t="s">
        <v>597</v>
      </c>
      <c r="D117" s="60" t="s">
        <v>175</v>
      </c>
      <c r="E117" s="28" t="s">
        <v>340</v>
      </c>
      <c r="F117">
        <v>2.2999999999999998</v>
      </c>
      <c r="G117">
        <v>22</v>
      </c>
      <c r="H117">
        <v>160</v>
      </c>
      <c r="I117">
        <v>160</v>
      </c>
      <c r="J117">
        <v>29</v>
      </c>
      <c r="K117">
        <v>44</v>
      </c>
      <c r="L117">
        <v>67</v>
      </c>
      <c r="M117">
        <v>67</v>
      </c>
      <c r="N117">
        <v>28</v>
      </c>
      <c r="O117">
        <v>130</v>
      </c>
      <c r="P117">
        <v>92</v>
      </c>
      <c r="Q117" t="s">
        <v>178</v>
      </c>
      <c r="R117" t="s">
        <v>178</v>
      </c>
      <c r="S117" t="s">
        <v>178</v>
      </c>
      <c r="X117">
        <v>0.43</v>
      </c>
      <c r="Y117">
        <v>1.4</v>
      </c>
      <c r="Z117">
        <v>2.9</v>
      </c>
      <c r="AA117">
        <v>0.36</v>
      </c>
    </row>
    <row r="118" spans="2:27" x14ac:dyDescent="0.3">
      <c r="B118" s="54" t="s">
        <v>597</v>
      </c>
      <c r="D118" s="60" t="s">
        <v>176</v>
      </c>
      <c r="E118" s="28" t="s">
        <v>389</v>
      </c>
      <c r="F118">
        <v>2</v>
      </c>
      <c r="G118">
        <v>14</v>
      </c>
      <c r="H118">
        <v>4</v>
      </c>
      <c r="I118">
        <v>4.3</v>
      </c>
      <c r="J118" t="s">
        <v>178</v>
      </c>
      <c r="K118" t="s">
        <v>178</v>
      </c>
      <c r="L118">
        <v>6.5</v>
      </c>
      <c r="M118" t="s">
        <v>178</v>
      </c>
      <c r="N118" t="s">
        <v>178</v>
      </c>
      <c r="O118" t="s">
        <v>178</v>
      </c>
      <c r="P118" t="s">
        <v>178</v>
      </c>
      <c r="Q118" t="s">
        <v>178</v>
      </c>
      <c r="R118" t="s">
        <v>178</v>
      </c>
      <c r="S118" t="s">
        <v>178</v>
      </c>
      <c r="X118">
        <v>0.43</v>
      </c>
      <c r="Y118">
        <v>2.1000000000000001E-2</v>
      </c>
      <c r="Z118">
        <v>0.02</v>
      </c>
      <c r="AA118">
        <v>0.36</v>
      </c>
    </row>
    <row r="121" spans="2:27" x14ac:dyDescent="0.3">
      <c r="B121" s="28"/>
      <c r="C121" s="23"/>
    </row>
    <row r="126" spans="2:27" x14ac:dyDescent="0.3">
      <c r="P126" t="s">
        <v>631</v>
      </c>
    </row>
    <row r="128" spans="2:27" x14ac:dyDescent="0.3">
      <c r="E128" s="28"/>
      <c r="F128" s="23" t="s">
        <v>579</v>
      </c>
      <c r="G128" t="s">
        <v>580</v>
      </c>
      <c r="H128" t="s">
        <v>581</v>
      </c>
      <c r="I128" t="s">
        <v>582</v>
      </c>
      <c r="J128" t="s">
        <v>83</v>
      </c>
      <c r="K128" t="s">
        <v>85</v>
      </c>
      <c r="L128" t="s">
        <v>87</v>
      </c>
      <c r="M128" t="s">
        <v>89</v>
      </c>
      <c r="N128" t="s">
        <v>91</v>
      </c>
      <c r="O128" t="s">
        <v>93</v>
      </c>
      <c r="P128" t="s">
        <v>97</v>
      </c>
      <c r="Q128" t="s">
        <v>99</v>
      </c>
      <c r="R128" t="s">
        <v>105</v>
      </c>
      <c r="S128" t="s">
        <v>111</v>
      </c>
      <c r="T128" t="s">
        <v>113</v>
      </c>
      <c r="U128" t="s">
        <v>115</v>
      </c>
    </row>
    <row r="129" spans="2:21" x14ac:dyDescent="0.3">
      <c r="E129" s="28"/>
      <c r="F129" s="23" t="s">
        <v>583</v>
      </c>
      <c r="G129" t="s">
        <v>584</v>
      </c>
      <c r="H129" t="s">
        <v>623</v>
      </c>
      <c r="I129" t="s">
        <v>586</v>
      </c>
      <c r="J129" t="s">
        <v>619</v>
      </c>
      <c r="K129" t="s">
        <v>620</v>
      </c>
      <c r="L129" t="s">
        <v>621</v>
      </c>
      <c r="M129" t="s">
        <v>624</v>
      </c>
      <c r="N129" t="s">
        <v>622</v>
      </c>
      <c r="O129" t="s">
        <v>625</v>
      </c>
      <c r="P129" t="s">
        <v>626</v>
      </c>
      <c r="Q129" t="s">
        <v>627</v>
      </c>
      <c r="R129" t="s">
        <v>628</v>
      </c>
      <c r="S129" t="s">
        <v>629</v>
      </c>
      <c r="T129" t="s">
        <v>630</v>
      </c>
      <c r="U129" t="s">
        <v>765</v>
      </c>
    </row>
    <row r="130" spans="2:21" x14ac:dyDescent="0.3">
      <c r="B130" t="s">
        <v>591</v>
      </c>
      <c r="C130" s="28" t="s">
        <v>600</v>
      </c>
      <c r="D130" s="61" t="s">
        <v>284</v>
      </c>
      <c r="E130" s="36">
        <v>53.2</v>
      </c>
      <c r="F130" s="23">
        <v>30.3</v>
      </c>
      <c r="G130">
        <v>36.299999999999997</v>
      </c>
      <c r="H130">
        <v>28.7</v>
      </c>
      <c r="I130">
        <v>2.88</v>
      </c>
      <c r="J130">
        <v>3.91</v>
      </c>
      <c r="K130">
        <v>24.2</v>
      </c>
      <c r="L130">
        <v>1.57</v>
      </c>
      <c r="M130">
        <v>2.93</v>
      </c>
      <c r="N130">
        <v>2.5499999999999998</v>
      </c>
      <c r="O130">
        <v>1.41</v>
      </c>
      <c r="P130">
        <v>1.59</v>
      </c>
      <c r="R130">
        <v>0.74</v>
      </c>
      <c r="S130">
        <v>0.3</v>
      </c>
      <c r="T130">
        <v>0.38</v>
      </c>
      <c r="U130">
        <v>1.29</v>
      </c>
    </row>
    <row r="131" spans="2:21" x14ac:dyDescent="0.3">
      <c r="B131" s="54" t="s">
        <v>594</v>
      </c>
      <c r="C131" s="28" t="s">
        <v>600</v>
      </c>
      <c r="D131" s="61" t="s">
        <v>198</v>
      </c>
      <c r="E131" s="36">
        <v>37.520000000000003</v>
      </c>
      <c r="F131" s="23">
        <v>820</v>
      </c>
      <c r="G131">
        <v>437</v>
      </c>
      <c r="H131">
        <v>567</v>
      </c>
      <c r="I131">
        <v>0.02</v>
      </c>
      <c r="J131">
        <v>34.869999999999997</v>
      </c>
      <c r="K131">
        <v>153.55000000000001</v>
      </c>
      <c r="L131">
        <v>13.08</v>
      </c>
      <c r="M131">
        <v>6.6</v>
      </c>
      <c r="N131">
        <v>30.88</v>
      </c>
      <c r="O131">
        <v>0.25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2:21" x14ac:dyDescent="0.3">
      <c r="B132" s="54" t="s">
        <v>591</v>
      </c>
      <c r="C132" s="28" t="s">
        <v>600</v>
      </c>
      <c r="D132" s="61" t="s">
        <v>287</v>
      </c>
      <c r="E132" s="36">
        <v>37.200000000000003</v>
      </c>
      <c r="F132" s="23">
        <v>806</v>
      </c>
      <c r="G132">
        <v>145</v>
      </c>
      <c r="H132">
        <v>58.9</v>
      </c>
      <c r="I132">
        <v>8.07</v>
      </c>
      <c r="J132">
        <v>15.9</v>
      </c>
      <c r="K132">
        <v>13.6</v>
      </c>
      <c r="L132">
        <v>3.64</v>
      </c>
      <c r="M132">
        <v>3.27</v>
      </c>
      <c r="N132">
        <v>4.83</v>
      </c>
      <c r="O132">
        <v>2.67</v>
      </c>
      <c r="P132">
        <v>2.17</v>
      </c>
      <c r="R132">
        <v>0.59</v>
      </c>
      <c r="S132">
        <v>0.23</v>
      </c>
      <c r="T132">
        <v>0</v>
      </c>
      <c r="U132">
        <v>0.7</v>
      </c>
    </row>
    <row r="133" spans="2:21" x14ac:dyDescent="0.3">
      <c r="B133" s="54" t="s">
        <v>594</v>
      </c>
      <c r="C133" s="28" t="s">
        <v>600</v>
      </c>
      <c r="D133" s="61" t="s">
        <v>195</v>
      </c>
      <c r="E133" s="36">
        <v>35.72</v>
      </c>
      <c r="F133" s="23">
        <v>245</v>
      </c>
      <c r="G133">
        <v>141</v>
      </c>
      <c r="H133">
        <v>81</v>
      </c>
      <c r="I133">
        <v>29</v>
      </c>
      <c r="J133">
        <v>7.61</v>
      </c>
      <c r="K133">
        <v>15.95</v>
      </c>
      <c r="L133">
        <v>2.09</v>
      </c>
      <c r="M133">
        <v>2.4500000000000002</v>
      </c>
      <c r="N133">
        <v>18.28</v>
      </c>
      <c r="O133">
        <v>2.94</v>
      </c>
      <c r="P133">
        <v>2.94</v>
      </c>
      <c r="Q133">
        <v>0.49</v>
      </c>
      <c r="R133">
        <v>0.86</v>
      </c>
      <c r="S133">
        <v>1.25</v>
      </c>
      <c r="T133">
        <v>0.74</v>
      </c>
      <c r="U133">
        <v>2.94</v>
      </c>
    </row>
    <row r="134" spans="2:21" x14ac:dyDescent="0.3">
      <c r="B134" t="s">
        <v>592</v>
      </c>
      <c r="C134" s="28" t="s">
        <v>600</v>
      </c>
      <c r="D134" s="61" t="s">
        <v>48</v>
      </c>
      <c r="E134" s="36">
        <v>35</v>
      </c>
      <c r="F134" s="23">
        <v>712</v>
      </c>
      <c r="G134">
        <v>297</v>
      </c>
      <c r="H134">
        <v>123</v>
      </c>
      <c r="I134">
        <v>49</v>
      </c>
      <c r="J134">
        <v>5.2</v>
      </c>
      <c r="K134">
        <v>58</v>
      </c>
      <c r="L134">
        <v>5.4</v>
      </c>
      <c r="M134">
        <v>6.2</v>
      </c>
      <c r="N134">
        <v>17</v>
      </c>
      <c r="O134">
        <v>9.6999999999999993</v>
      </c>
      <c r="P134">
        <v>8</v>
      </c>
      <c r="Q134">
        <v>2.8</v>
      </c>
      <c r="R134">
        <v>2.2999999999999998</v>
      </c>
      <c r="S134">
        <v>3</v>
      </c>
      <c r="T134">
        <v>1.4</v>
      </c>
      <c r="U134">
        <v>5</v>
      </c>
    </row>
    <row r="135" spans="2:21" s="60" customFormat="1" x14ac:dyDescent="0.3">
      <c r="B135" s="60" t="s">
        <v>593</v>
      </c>
      <c r="C135" s="61" t="s">
        <v>600</v>
      </c>
      <c r="D135" s="61" t="s">
        <v>48</v>
      </c>
      <c r="E135" s="62">
        <v>35</v>
      </c>
      <c r="F135" s="60">
        <v>681.318681318681</v>
      </c>
      <c r="G135" s="60">
        <v>249.084249084248</v>
      </c>
      <c r="H135" s="60">
        <v>87.912087912087898</v>
      </c>
      <c r="I135" s="60">
        <v>47.619047619047599</v>
      </c>
      <c r="J135" s="60">
        <v>10.9890109890107</v>
      </c>
      <c r="K135" s="60">
        <v>7.3260073260073</v>
      </c>
      <c r="L135" s="60">
        <v>10.9890109890107</v>
      </c>
      <c r="M135" s="60">
        <v>7.3260073260073</v>
      </c>
      <c r="N135" s="60">
        <v>18.3150183150182</v>
      </c>
      <c r="O135" s="60">
        <v>7.3260073260073</v>
      </c>
      <c r="P135" s="60">
        <v>7.3260073260073</v>
      </c>
      <c r="Q135" s="60">
        <v>0</v>
      </c>
      <c r="R135" s="60">
        <v>0</v>
      </c>
      <c r="S135" s="60">
        <v>0</v>
      </c>
      <c r="T135" s="60">
        <v>0</v>
      </c>
      <c r="U135" s="60">
        <v>0</v>
      </c>
    </row>
    <row r="136" spans="2:21" x14ac:dyDescent="0.3">
      <c r="B136" s="54" t="s">
        <v>594</v>
      </c>
      <c r="C136" s="28" t="s">
        <v>600</v>
      </c>
      <c r="D136" s="61" t="s">
        <v>205</v>
      </c>
      <c r="E136" s="36">
        <v>34.380000000000003</v>
      </c>
      <c r="F136" s="23">
        <v>292.60000000000002</v>
      </c>
      <c r="G136">
        <v>125.2</v>
      </c>
      <c r="H136">
        <v>48.9</v>
      </c>
      <c r="I136">
        <v>13.5</v>
      </c>
      <c r="J136">
        <v>11.08</v>
      </c>
      <c r="K136">
        <v>8.84</v>
      </c>
      <c r="L136">
        <v>1</v>
      </c>
      <c r="M136">
        <v>2.12</v>
      </c>
      <c r="N136">
        <v>6.72</v>
      </c>
      <c r="O136">
        <v>1.24</v>
      </c>
      <c r="P136">
        <v>1.37</v>
      </c>
      <c r="Q136">
        <v>0.37</v>
      </c>
      <c r="R136">
        <v>0.25</v>
      </c>
      <c r="S136">
        <v>0.18</v>
      </c>
      <c r="T136">
        <v>0.18</v>
      </c>
      <c r="U136">
        <v>0.5</v>
      </c>
    </row>
    <row r="137" spans="2:21" x14ac:dyDescent="0.3">
      <c r="B137" s="54" t="s">
        <v>591</v>
      </c>
      <c r="C137" s="28" t="s">
        <v>600</v>
      </c>
      <c r="D137" s="61" t="s">
        <v>289</v>
      </c>
      <c r="E137" s="36">
        <v>34.1</v>
      </c>
      <c r="F137" s="23">
        <v>579</v>
      </c>
      <c r="G137">
        <v>296</v>
      </c>
      <c r="H137">
        <v>106</v>
      </c>
      <c r="I137">
        <v>55.7</v>
      </c>
      <c r="J137">
        <v>12.5</v>
      </c>
      <c r="K137">
        <v>18.600000000000001</v>
      </c>
      <c r="L137">
        <v>10.6</v>
      </c>
      <c r="M137">
        <v>4.93</v>
      </c>
      <c r="N137">
        <v>13.9</v>
      </c>
      <c r="O137">
        <v>13.7</v>
      </c>
      <c r="P137">
        <v>8.68</v>
      </c>
      <c r="R137">
        <v>3.71</v>
      </c>
      <c r="S137">
        <v>2.46</v>
      </c>
      <c r="T137">
        <v>0.63</v>
      </c>
      <c r="U137">
        <v>4.2699999999999996</v>
      </c>
    </row>
    <row r="138" spans="2:21" x14ac:dyDescent="0.3">
      <c r="B138" s="54" t="s">
        <v>594</v>
      </c>
      <c r="C138" s="28" t="s">
        <v>600</v>
      </c>
      <c r="D138" s="61" t="s">
        <v>204</v>
      </c>
      <c r="E138" s="36">
        <v>32.72</v>
      </c>
      <c r="F138" s="23">
        <v>248.6</v>
      </c>
      <c r="G138">
        <v>134.4</v>
      </c>
      <c r="H138">
        <v>67.3</v>
      </c>
      <c r="I138">
        <v>23</v>
      </c>
      <c r="J138">
        <v>8.15</v>
      </c>
      <c r="K138">
        <v>17.899999999999999</v>
      </c>
      <c r="L138">
        <v>2.4700000000000002</v>
      </c>
      <c r="M138">
        <v>3.7</v>
      </c>
      <c r="N138">
        <v>8.64</v>
      </c>
      <c r="O138">
        <v>5.19</v>
      </c>
      <c r="P138">
        <v>2.1</v>
      </c>
      <c r="Q138">
        <v>0.37</v>
      </c>
      <c r="R138">
        <v>0.49</v>
      </c>
      <c r="S138">
        <v>0.86</v>
      </c>
      <c r="T138">
        <v>0.5</v>
      </c>
      <c r="U138">
        <v>1.23</v>
      </c>
    </row>
    <row r="139" spans="2:21" x14ac:dyDescent="0.3">
      <c r="B139" s="54" t="s">
        <v>594</v>
      </c>
      <c r="C139" s="28" t="s">
        <v>600</v>
      </c>
      <c r="D139" s="61" t="s">
        <v>196</v>
      </c>
      <c r="E139" s="36">
        <v>31.3</v>
      </c>
      <c r="F139" s="23">
        <v>50.3</v>
      </c>
      <c r="G139">
        <v>51.2</v>
      </c>
      <c r="H139">
        <v>35.200000000000003</v>
      </c>
      <c r="I139">
        <v>13</v>
      </c>
      <c r="J139">
        <v>7.83</v>
      </c>
      <c r="K139">
        <v>2.86</v>
      </c>
      <c r="L139">
        <v>0.99</v>
      </c>
      <c r="M139">
        <v>0.27</v>
      </c>
      <c r="N139">
        <v>4.0999999999999996</v>
      </c>
      <c r="O139">
        <v>0.5</v>
      </c>
      <c r="P139">
        <v>1.61</v>
      </c>
      <c r="Q139">
        <v>0.99</v>
      </c>
      <c r="R139">
        <v>1.24</v>
      </c>
      <c r="S139">
        <v>0.49</v>
      </c>
      <c r="T139">
        <v>0.52</v>
      </c>
      <c r="U139">
        <v>1.86</v>
      </c>
    </row>
    <row r="140" spans="2:21" x14ac:dyDescent="0.3">
      <c r="B140" t="s">
        <v>594</v>
      </c>
      <c r="C140" s="28" t="s">
        <v>601</v>
      </c>
      <c r="D140" s="61" t="s">
        <v>193</v>
      </c>
      <c r="E140" s="37">
        <v>30.89</v>
      </c>
      <c r="F140" s="23">
        <v>261</v>
      </c>
      <c r="G140">
        <v>209</v>
      </c>
      <c r="H140">
        <v>142</v>
      </c>
      <c r="I140">
        <v>48</v>
      </c>
      <c r="J140">
        <v>12.03</v>
      </c>
      <c r="K140">
        <v>13.03</v>
      </c>
      <c r="L140">
        <v>2.88</v>
      </c>
      <c r="M140">
        <v>2.88</v>
      </c>
      <c r="N140">
        <v>8.4</v>
      </c>
      <c r="O140">
        <v>4.6399999999999997</v>
      </c>
      <c r="P140">
        <v>5.14</v>
      </c>
      <c r="Q140">
        <v>0.5</v>
      </c>
      <c r="R140">
        <v>2.2599999999999998</v>
      </c>
      <c r="S140">
        <v>0.63</v>
      </c>
      <c r="T140">
        <v>0.13</v>
      </c>
      <c r="U140">
        <v>3.13</v>
      </c>
    </row>
    <row r="141" spans="2:21" x14ac:dyDescent="0.3">
      <c r="B141" s="54" t="s">
        <v>591</v>
      </c>
      <c r="C141" s="28" t="s">
        <v>601</v>
      </c>
      <c r="D141" s="61" t="s">
        <v>293</v>
      </c>
      <c r="E141" s="37">
        <v>28.4</v>
      </c>
      <c r="F141" s="23">
        <v>967</v>
      </c>
      <c r="G141">
        <v>269</v>
      </c>
      <c r="H141">
        <v>161</v>
      </c>
      <c r="I141">
        <v>40.299999999999997</v>
      </c>
      <c r="J141">
        <v>16.399999999999999</v>
      </c>
      <c r="K141">
        <v>53.7</v>
      </c>
      <c r="L141">
        <v>2.96</v>
      </c>
      <c r="M141">
        <v>12.6</v>
      </c>
      <c r="N141">
        <v>16.3</v>
      </c>
      <c r="O141">
        <v>7.75</v>
      </c>
      <c r="P141">
        <v>10.6</v>
      </c>
      <c r="R141">
        <v>3.15</v>
      </c>
      <c r="S141">
        <v>1.5</v>
      </c>
      <c r="T141">
        <v>1.4</v>
      </c>
      <c r="U141">
        <v>3.61</v>
      </c>
    </row>
    <row r="142" spans="2:21" x14ac:dyDescent="0.3">
      <c r="B142" s="54" t="s">
        <v>591</v>
      </c>
      <c r="C142" s="28" t="s">
        <v>601</v>
      </c>
      <c r="D142" s="61" t="s">
        <v>319</v>
      </c>
      <c r="E142" s="37">
        <v>27</v>
      </c>
      <c r="F142" s="23">
        <v>140</v>
      </c>
      <c r="G142">
        <v>55.8</v>
      </c>
      <c r="H142">
        <v>29.2</v>
      </c>
      <c r="I142">
        <v>10.3</v>
      </c>
      <c r="J142">
        <v>7.65</v>
      </c>
      <c r="K142">
        <v>4.42</v>
      </c>
      <c r="L142">
        <v>1.75</v>
      </c>
      <c r="M142">
        <v>1.89</v>
      </c>
      <c r="N142">
        <v>4.01</v>
      </c>
      <c r="O142">
        <v>2.11</v>
      </c>
      <c r="P142">
        <v>2.33</v>
      </c>
      <c r="R142">
        <v>1.33</v>
      </c>
      <c r="S142">
        <v>0.37</v>
      </c>
      <c r="T142">
        <v>0.31</v>
      </c>
      <c r="U142">
        <v>1.42</v>
      </c>
    </row>
    <row r="143" spans="2:21" x14ac:dyDescent="0.3">
      <c r="B143" s="54" t="s">
        <v>594</v>
      </c>
      <c r="C143" s="28" t="s">
        <v>602</v>
      </c>
      <c r="D143" s="61" t="s">
        <v>203</v>
      </c>
      <c r="E143" s="38">
        <v>19.32</v>
      </c>
      <c r="F143" s="23">
        <v>111</v>
      </c>
      <c r="G143">
        <v>60</v>
      </c>
      <c r="H143">
        <v>13</v>
      </c>
      <c r="I143">
        <v>5</v>
      </c>
      <c r="J143">
        <v>6.72</v>
      </c>
      <c r="K143">
        <v>7.7</v>
      </c>
      <c r="L143">
        <v>2.2000000000000002</v>
      </c>
      <c r="M143">
        <v>1.22</v>
      </c>
      <c r="N143">
        <v>5.01</v>
      </c>
      <c r="O143">
        <v>3.18</v>
      </c>
      <c r="P143">
        <v>0.98</v>
      </c>
      <c r="Q143">
        <v>0.4</v>
      </c>
      <c r="R143">
        <v>0.49</v>
      </c>
      <c r="S143">
        <v>0.12</v>
      </c>
      <c r="T143">
        <v>0</v>
      </c>
      <c r="U143">
        <v>0.86</v>
      </c>
    </row>
    <row r="144" spans="2:21" x14ac:dyDescent="0.3">
      <c r="B144" s="54" t="s">
        <v>591</v>
      </c>
      <c r="C144" s="28" t="s">
        <v>602</v>
      </c>
      <c r="D144" s="61" t="s">
        <v>296</v>
      </c>
      <c r="E144" s="38">
        <v>15.8</v>
      </c>
      <c r="F144" s="23">
        <v>85.8</v>
      </c>
      <c r="G144">
        <v>27.3</v>
      </c>
      <c r="H144">
        <v>10.199999999999999</v>
      </c>
      <c r="I144">
        <v>10.5</v>
      </c>
      <c r="J144">
        <v>8.56</v>
      </c>
      <c r="K144">
        <v>6.01</v>
      </c>
      <c r="L144">
        <v>0.6</v>
      </c>
      <c r="M144">
        <v>1.57</v>
      </c>
      <c r="N144">
        <v>3.81</v>
      </c>
      <c r="O144">
        <v>2.4300000000000002</v>
      </c>
      <c r="P144">
        <v>2.87</v>
      </c>
      <c r="R144">
        <v>1.32</v>
      </c>
      <c r="S144">
        <v>0</v>
      </c>
      <c r="T144">
        <v>0</v>
      </c>
      <c r="U144">
        <v>1.48</v>
      </c>
    </row>
    <row r="145" spans="2:21" x14ac:dyDescent="0.3">
      <c r="B145" s="54" t="s">
        <v>594</v>
      </c>
      <c r="C145" s="28" t="s">
        <v>602</v>
      </c>
      <c r="D145" s="61" t="s">
        <v>200</v>
      </c>
      <c r="E145" s="38">
        <v>11.55</v>
      </c>
      <c r="F145" s="23">
        <v>236</v>
      </c>
      <c r="G145">
        <v>848</v>
      </c>
      <c r="H145">
        <v>357</v>
      </c>
      <c r="I145">
        <v>920</v>
      </c>
      <c r="J145">
        <v>33.69</v>
      </c>
      <c r="K145">
        <v>167.5</v>
      </c>
      <c r="L145">
        <v>217.67</v>
      </c>
      <c r="M145">
        <v>80.430000000000007</v>
      </c>
      <c r="N145">
        <v>552.66999999999996</v>
      </c>
      <c r="O145">
        <v>551.51</v>
      </c>
      <c r="P145">
        <v>125.74</v>
      </c>
      <c r="Q145">
        <v>34.08</v>
      </c>
      <c r="R145">
        <v>449.35</v>
      </c>
      <c r="S145">
        <v>68.56</v>
      </c>
      <c r="T145">
        <v>25.15</v>
      </c>
      <c r="U145">
        <v>83.87</v>
      </c>
    </row>
    <row r="146" spans="2:21" x14ac:dyDescent="0.3">
      <c r="B146" s="54" t="s">
        <v>594</v>
      </c>
      <c r="C146" s="28" t="s">
        <v>602</v>
      </c>
      <c r="D146" s="61" t="s">
        <v>201</v>
      </c>
      <c r="E146" s="38">
        <v>11.47</v>
      </c>
      <c r="F146" s="23">
        <v>140</v>
      </c>
      <c r="G146">
        <v>422</v>
      </c>
      <c r="H146">
        <v>224</v>
      </c>
      <c r="I146">
        <v>376</v>
      </c>
      <c r="J146">
        <v>19.739999999999998</v>
      </c>
      <c r="K146">
        <v>92.54</v>
      </c>
      <c r="L146">
        <v>95.99</v>
      </c>
      <c r="M146">
        <v>41.09</v>
      </c>
      <c r="N146">
        <v>226.28</v>
      </c>
      <c r="O146">
        <v>198.27</v>
      </c>
      <c r="P146">
        <v>53.42</v>
      </c>
      <c r="Q146">
        <v>11.84</v>
      </c>
      <c r="R146">
        <v>151.13999999999999</v>
      </c>
      <c r="S146">
        <v>21.84</v>
      </c>
      <c r="T146">
        <v>9.5</v>
      </c>
      <c r="U146">
        <v>28.62</v>
      </c>
    </row>
    <row r="147" spans="2:21" x14ac:dyDescent="0.3">
      <c r="B147" s="54" t="s">
        <v>594</v>
      </c>
      <c r="C147" s="28" t="s">
        <v>602</v>
      </c>
      <c r="D147" s="61" t="s">
        <v>202</v>
      </c>
      <c r="E147" s="38">
        <v>8.6300000000000008</v>
      </c>
      <c r="F147" s="23">
        <v>5</v>
      </c>
      <c r="G147">
        <v>28</v>
      </c>
      <c r="H147">
        <v>12</v>
      </c>
      <c r="I147">
        <v>10</v>
      </c>
      <c r="J147">
        <v>0.71</v>
      </c>
      <c r="K147">
        <v>6.9</v>
      </c>
      <c r="L147">
        <v>2.97</v>
      </c>
      <c r="M147">
        <v>1.78</v>
      </c>
      <c r="N147">
        <v>4.4000000000000004</v>
      </c>
      <c r="O147">
        <v>2.14</v>
      </c>
      <c r="P147">
        <v>1.31</v>
      </c>
      <c r="Q147">
        <v>0.12</v>
      </c>
      <c r="R147">
        <v>2.5</v>
      </c>
      <c r="S147">
        <v>0.24</v>
      </c>
      <c r="T147">
        <v>0</v>
      </c>
      <c r="U147">
        <v>1.55</v>
      </c>
    </row>
    <row r="148" spans="2:21" x14ac:dyDescent="0.3">
      <c r="B148" s="54" t="s">
        <v>591</v>
      </c>
      <c r="C148" s="28" t="s">
        <v>603</v>
      </c>
      <c r="D148" s="61" t="s">
        <v>299</v>
      </c>
      <c r="E148" s="35"/>
      <c r="F148" s="23">
        <v>0</v>
      </c>
      <c r="G148">
        <v>10.1</v>
      </c>
      <c r="H148">
        <v>1.55</v>
      </c>
      <c r="I148">
        <v>15.9</v>
      </c>
      <c r="J148">
        <v>0</v>
      </c>
      <c r="K148">
        <v>2.94</v>
      </c>
      <c r="L148">
        <v>0</v>
      </c>
      <c r="M148">
        <v>3.02</v>
      </c>
      <c r="N148">
        <v>10.4</v>
      </c>
      <c r="O148">
        <v>2.0299999999999998</v>
      </c>
      <c r="P148">
        <v>4.3099999999999996</v>
      </c>
      <c r="R148">
        <v>2.2200000000000002</v>
      </c>
      <c r="S148">
        <v>1.53</v>
      </c>
      <c r="T148">
        <v>1.3</v>
      </c>
      <c r="U148">
        <v>2.61</v>
      </c>
    </row>
    <row r="157" spans="2:21" x14ac:dyDescent="0.3">
      <c r="B157" s="28"/>
    </row>
    <row r="158" spans="2:21" x14ac:dyDescent="0.3">
      <c r="B158" s="28"/>
    </row>
    <row r="166" spans="2:21" x14ac:dyDescent="0.3">
      <c r="B166" s="54"/>
      <c r="D166" s="61"/>
      <c r="F166" s="23"/>
    </row>
    <row r="167" spans="2:21" x14ac:dyDescent="0.3">
      <c r="B167" s="54" t="s">
        <v>591</v>
      </c>
      <c r="D167" s="61" t="s">
        <v>306</v>
      </c>
      <c r="F167" s="23">
        <v>2497</v>
      </c>
      <c r="G167">
        <v>9.6300000000000008</v>
      </c>
      <c r="H167">
        <v>160</v>
      </c>
      <c r="I167">
        <v>0</v>
      </c>
      <c r="J167">
        <v>44.9</v>
      </c>
      <c r="K167">
        <v>74.8</v>
      </c>
      <c r="L167">
        <v>0.15</v>
      </c>
      <c r="M167">
        <v>0.1</v>
      </c>
      <c r="N167">
        <v>0</v>
      </c>
      <c r="O167">
        <v>0</v>
      </c>
      <c r="P167">
        <v>0</v>
      </c>
      <c r="R167">
        <v>0</v>
      </c>
      <c r="S167">
        <v>0</v>
      </c>
      <c r="T167">
        <v>0</v>
      </c>
      <c r="U167">
        <v>0</v>
      </c>
    </row>
    <row r="168" spans="2:21" x14ac:dyDescent="0.3">
      <c r="B168" s="54" t="s">
        <v>591</v>
      </c>
      <c r="D168" s="61" t="s">
        <v>308</v>
      </c>
      <c r="F168" s="23">
        <v>933</v>
      </c>
      <c r="G168">
        <v>359</v>
      </c>
      <c r="H168">
        <v>316</v>
      </c>
      <c r="I168">
        <v>2.58</v>
      </c>
      <c r="J168">
        <v>40.1</v>
      </c>
      <c r="K168">
        <v>84.4</v>
      </c>
      <c r="L168">
        <v>0</v>
      </c>
      <c r="M168">
        <v>7.05</v>
      </c>
      <c r="N168">
        <v>29.1</v>
      </c>
      <c r="O168">
        <v>0.45</v>
      </c>
      <c r="P168">
        <v>0</v>
      </c>
      <c r="R168">
        <v>0</v>
      </c>
      <c r="S168">
        <v>0</v>
      </c>
      <c r="T168">
        <v>0</v>
      </c>
      <c r="U168">
        <v>0</v>
      </c>
    </row>
    <row r="169" spans="2:21" x14ac:dyDescent="0.3">
      <c r="B169" s="54" t="s">
        <v>591</v>
      </c>
      <c r="D169" s="61" t="s">
        <v>310</v>
      </c>
      <c r="F169" s="23">
        <v>182</v>
      </c>
      <c r="G169">
        <v>498</v>
      </c>
      <c r="H169">
        <v>221</v>
      </c>
      <c r="I169">
        <v>290</v>
      </c>
      <c r="J169">
        <v>21.5</v>
      </c>
      <c r="K169">
        <v>76.400000000000006</v>
      </c>
      <c r="L169">
        <v>45.2</v>
      </c>
      <c r="M169">
        <v>30.5</v>
      </c>
      <c r="N169">
        <v>150</v>
      </c>
      <c r="O169">
        <v>123</v>
      </c>
      <c r="P169">
        <v>41.3</v>
      </c>
      <c r="R169">
        <v>64.400000000000006</v>
      </c>
      <c r="S169">
        <v>14.4</v>
      </c>
      <c r="T169">
        <v>7.56</v>
      </c>
      <c r="U169">
        <v>25.5</v>
      </c>
    </row>
    <row r="170" spans="2:21" x14ac:dyDescent="0.3">
      <c r="B170" s="54" t="s">
        <v>591</v>
      </c>
      <c r="D170" s="61" t="s">
        <v>312</v>
      </c>
      <c r="F170" s="23">
        <v>281</v>
      </c>
      <c r="G170">
        <v>811</v>
      </c>
      <c r="H170">
        <v>160</v>
      </c>
      <c r="I170">
        <v>690</v>
      </c>
      <c r="J170">
        <v>30</v>
      </c>
      <c r="K170">
        <v>109</v>
      </c>
      <c r="L170">
        <v>136</v>
      </c>
      <c r="M170">
        <v>62.8</v>
      </c>
      <c r="N170">
        <v>543</v>
      </c>
      <c r="O170">
        <v>430</v>
      </c>
      <c r="P170">
        <v>124</v>
      </c>
      <c r="R170">
        <v>211</v>
      </c>
      <c r="S170">
        <v>51.2</v>
      </c>
      <c r="T170">
        <v>30</v>
      </c>
      <c r="U170">
        <v>77.5</v>
      </c>
    </row>
    <row r="171" spans="2:21" x14ac:dyDescent="0.3">
      <c r="B171" s="54" t="s">
        <v>591</v>
      </c>
      <c r="D171" s="61" t="s">
        <v>314</v>
      </c>
      <c r="F171" s="23">
        <v>342</v>
      </c>
      <c r="G171">
        <v>445</v>
      </c>
      <c r="H171">
        <v>104</v>
      </c>
      <c r="I171">
        <v>277</v>
      </c>
      <c r="J171">
        <v>12.3</v>
      </c>
      <c r="K171">
        <v>48.4</v>
      </c>
      <c r="L171">
        <v>63.1</v>
      </c>
      <c r="M171">
        <v>33.799999999999997</v>
      </c>
      <c r="N171">
        <v>160</v>
      </c>
      <c r="O171">
        <v>139</v>
      </c>
      <c r="P171">
        <v>67.8</v>
      </c>
      <c r="R171">
        <v>59.9</v>
      </c>
      <c r="S171">
        <v>23.2</v>
      </c>
      <c r="T171">
        <v>12.2</v>
      </c>
      <c r="U171">
        <v>11.8</v>
      </c>
    </row>
    <row r="172" spans="2:21" x14ac:dyDescent="0.3">
      <c r="B172" s="54" t="s">
        <v>591</v>
      </c>
      <c r="D172" s="61" t="s">
        <v>316</v>
      </c>
      <c r="F172" s="23">
        <v>0.39</v>
      </c>
      <c r="G172">
        <v>0.22</v>
      </c>
      <c r="H172">
        <v>0.65</v>
      </c>
      <c r="I172">
        <v>0.13</v>
      </c>
      <c r="J172">
        <v>0</v>
      </c>
      <c r="K172">
        <v>0</v>
      </c>
      <c r="L172">
        <v>0.03</v>
      </c>
      <c r="M172">
        <v>0</v>
      </c>
      <c r="N172">
        <v>0.08</v>
      </c>
      <c r="O172">
        <v>0.1</v>
      </c>
      <c r="P172">
        <v>0</v>
      </c>
      <c r="R172">
        <v>0</v>
      </c>
      <c r="S172">
        <v>0</v>
      </c>
      <c r="T172">
        <v>0</v>
      </c>
      <c r="U172">
        <v>0</v>
      </c>
    </row>
    <row r="173" spans="2:21" x14ac:dyDescent="0.3">
      <c r="D173" s="61"/>
      <c r="F173" s="23" t="s">
        <v>579</v>
      </c>
      <c r="G173" t="s">
        <v>580</v>
      </c>
      <c r="H173" t="s">
        <v>581</v>
      </c>
      <c r="I173" t="s">
        <v>582</v>
      </c>
      <c r="J173" t="s">
        <v>83</v>
      </c>
      <c r="K173" t="s">
        <v>85</v>
      </c>
      <c r="L173" t="s">
        <v>87</v>
      </c>
      <c r="M173" t="s">
        <v>89</v>
      </c>
      <c r="N173" t="s">
        <v>91</v>
      </c>
      <c r="O173" t="s">
        <v>93</v>
      </c>
      <c r="P173" t="s">
        <v>97</v>
      </c>
      <c r="Q173" t="s">
        <v>99</v>
      </c>
      <c r="R173" t="s">
        <v>105</v>
      </c>
      <c r="S173" t="s">
        <v>111</v>
      </c>
      <c r="T173" t="s">
        <v>113</v>
      </c>
      <c r="U173" t="s">
        <v>115</v>
      </c>
    </row>
    <row r="174" spans="2:21" x14ac:dyDescent="0.3">
      <c r="B174" t="s">
        <v>597</v>
      </c>
      <c r="D174" s="61" t="s">
        <v>168</v>
      </c>
      <c r="F174" s="23">
        <v>2800</v>
      </c>
      <c r="G174">
        <v>16</v>
      </c>
      <c r="H174">
        <v>14</v>
      </c>
      <c r="I174">
        <v>0.36</v>
      </c>
      <c r="J174">
        <v>1.6E-2</v>
      </c>
      <c r="K174">
        <v>4.4000000000000004</v>
      </c>
      <c r="L174">
        <v>1.8</v>
      </c>
      <c r="M174">
        <v>1.4</v>
      </c>
      <c r="N174">
        <v>3.6</v>
      </c>
      <c r="O174">
        <v>0.38</v>
      </c>
      <c r="P174">
        <v>0.39</v>
      </c>
      <c r="Q174">
        <v>0.28999999999999998</v>
      </c>
      <c r="R174">
        <v>0.3</v>
      </c>
      <c r="S174">
        <v>0.46</v>
      </c>
      <c r="T174">
        <v>0.45</v>
      </c>
      <c r="U174">
        <v>0.44</v>
      </c>
    </row>
    <row r="175" spans="2:21" x14ac:dyDescent="0.3">
      <c r="B175" s="54" t="s">
        <v>597</v>
      </c>
      <c r="D175" s="61" t="s">
        <v>169</v>
      </c>
      <c r="F175" s="23">
        <v>490</v>
      </c>
      <c r="G175">
        <v>8.6999999999999993</v>
      </c>
      <c r="H175">
        <v>7.7</v>
      </c>
      <c r="I175">
        <v>0.36</v>
      </c>
      <c r="J175">
        <v>1.6E-2</v>
      </c>
      <c r="K175">
        <v>1.8</v>
      </c>
      <c r="L175">
        <v>1.3</v>
      </c>
      <c r="M175">
        <v>0.68</v>
      </c>
      <c r="N175">
        <v>1.8</v>
      </c>
      <c r="O175">
        <v>0.38</v>
      </c>
      <c r="P175">
        <v>0.39</v>
      </c>
      <c r="Q175">
        <v>0.28999999999999998</v>
      </c>
      <c r="R175">
        <v>0.3</v>
      </c>
      <c r="S175">
        <v>0.46</v>
      </c>
      <c r="T175">
        <v>0.45</v>
      </c>
      <c r="U175">
        <v>0.44</v>
      </c>
    </row>
    <row r="176" spans="2:21" x14ac:dyDescent="0.3">
      <c r="B176" s="54" t="s">
        <v>597</v>
      </c>
      <c r="D176" s="61" t="s">
        <v>170</v>
      </c>
      <c r="F176" s="23">
        <v>750</v>
      </c>
      <c r="G176">
        <v>0.82</v>
      </c>
      <c r="H176">
        <v>22</v>
      </c>
      <c r="I176">
        <v>0.36</v>
      </c>
      <c r="J176">
        <v>1.6E-2</v>
      </c>
      <c r="K176">
        <v>0.02</v>
      </c>
      <c r="L176">
        <v>2.3E-2</v>
      </c>
      <c r="M176">
        <v>9.9000000000000005E-2</v>
      </c>
      <c r="N176">
        <v>0.1</v>
      </c>
      <c r="O176">
        <v>0.38</v>
      </c>
      <c r="P176">
        <v>0.39</v>
      </c>
      <c r="Q176">
        <v>0.28999999999999998</v>
      </c>
      <c r="R176">
        <v>0.3</v>
      </c>
      <c r="S176">
        <v>0.46</v>
      </c>
      <c r="T176">
        <v>0.45</v>
      </c>
      <c r="U176">
        <v>0.44</v>
      </c>
    </row>
    <row r="177" spans="2:21" x14ac:dyDescent="0.3">
      <c r="B177" s="54" t="s">
        <v>597</v>
      </c>
      <c r="D177" s="61" t="s">
        <v>166</v>
      </c>
      <c r="F177" s="23">
        <v>250</v>
      </c>
      <c r="G177">
        <v>0.91</v>
      </c>
      <c r="H177">
        <v>8</v>
      </c>
      <c r="I177">
        <v>0.36</v>
      </c>
      <c r="J177">
        <v>1.6E-2</v>
      </c>
      <c r="K177">
        <v>0.61</v>
      </c>
      <c r="L177">
        <v>2.3E-2</v>
      </c>
      <c r="M177">
        <v>9.9000000000000005E-2</v>
      </c>
      <c r="N177">
        <v>0.1</v>
      </c>
      <c r="O177">
        <v>0.38</v>
      </c>
      <c r="P177">
        <v>0.39</v>
      </c>
      <c r="Q177">
        <v>0.28999999999999998</v>
      </c>
      <c r="R177">
        <v>0.3</v>
      </c>
      <c r="S177">
        <v>0.46</v>
      </c>
      <c r="T177">
        <v>0.45</v>
      </c>
      <c r="U177">
        <v>0.44</v>
      </c>
    </row>
    <row r="178" spans="2:21" x14ac:dyDescent="0.3">
      <c r="B178" s="54" t="s">
        <v>597</v>
      </c>
      <c r="D178" s="61" t="s">
        <v>171</v>
      </c>
      <c r="F178" s="23">
        <v>120</v>
      </c>
      <c r="G178">
        <v>91</v>
      </c>
      <c r="H178">
        <v>44</v>
      </c>
      <c r="I178">
        <v>1</v>
      </c>
      <c r="J178">
        <v>1.6E-2</v>
      </c>
      <c r="K178">
        <v>32</v>
      </c>
      <c r="L178">
        <v>7.4</v>
      </c>
      <c r="M178">
        <v>3.3</v>
      </c>
      <c r="N178">
        <v>60</v>
      </c>
      <c r="O178">
        <v>0.38</v>
      </c>
      <c r="P178">
        <v>0.39</v>
      </c>
      <c r="Q178">
        <v>0.28999999999999998</v>
      </c>
      <c r="R178">
        <v>0.3</v>
      </c>
      <c r="S178">
        <v>0.46</v>
      </c>
      <c r="T178">
        <v>0.45</v>
      </c>
      <c r="U178">
        <v>0.44</v>
      </c>
    </row>
    <row r="179" spans="2:21" x14ac:dyDescent="0.3">
      <c r="B179" s="54" t="s">
        <v>597</v>
      </c>
      <c r="D179" s="61" t="s">
        <v>172</v>
      </c>
      <c r="F179" s="23">
        <v>2600</v>
      </c>
      <c r="G179">
        <v>1700</v>
      </c>
      <c r="H179">
        <v>610</v>
      </c>
      <c r="I179">
        <v>16</v>
      </c>
      <c r="J179">
        <v>1.6E-2</v>
      </c>
      <c r="K179">
        <v>430</v>
      </c>
      <c r="L179">
        <v>180</v>
      </c>
      <c r="M179">
        <v>52</v>
      </c>
      <c r="N179">
        <v>200</v>
      </c>
      <c r="O179">
        <v>7</v>
      </c>
      <c r="P179">
        <v>1</v>
      </c>
      <c r="Q179">
        <v>0.28999999999999998</v>
      </c>
      <c r="R179">
        <v>0.71</v>
      </c>
      <c r="S179">
        <v>0.46</v>
      </c>
      <c r="T179">
        <v>0.45</v>
      </c>
      <c r="U179">
        <v>0.44</v>
      </c>
    </row>
    <row r="180" spans="2:21" x14ac:dyDescent="0.3">
      <c r="B180" s="54" t="s">
        <v>597</v>
      </c>
      <c r="D180" s="61" t="s">
        <v>167</v>
      </c>
      <c r="F180" s="23">
        <v>4300</v>
      </c>
      <c r="G180">
        <v>2300</v>
      </c>
      <c r="H180">
        <v>730</v>
      </c>
      <c r="I180">
        <v>2.9</v>
      </c>
      <c r="J180">
        <v>1.6E-2</v>
      </c>
      <c r="K180">
        <v>570</v>
      </c>
      <c r="L180">
        <v>240</v>
      </c>
      <c r="M180">
        <v>39</v>
      </c>
      <c r="N180">
        <v>130</v>
      </c>
      <c r="O180">
        <v>0.38</v>
      </c>
      <c r="P180">
        <v>0.4</v>
      </c>
      <c r="Q180">
        <v>0.28999999999999998</v>
      </c>
      <c r="R180">
        <v>0.3</v>
      </c>
      <c r="S180">
        <v>0.46</v>
      </c>
      <c r="T180">
        <v>0.45</v>
      </c>
      <c r="U180">
        <v>0.44</v>
      </c>
    </row>
    <row r="181" spans="2:21" x14ac:dyDescent="0.3">
      <c r="B181" s="54" t="s">
        <v>597</v>
      </c>
      <c r="D181" s="61" t="s">
        <v>173</v>
      </c>
      <c r="F181" s="23">
        <v>1900</v>
      </c>
      <c r="G181">
        <v>1100</v>
      </c>
      <c r="H181">
        <v>450</v>
      </c>
      <c r="I181">
        <v>4.0999999999999996</v>
      </c>
      <c r="J181">
        <v>1.6E-2</v>
      </c>
      <c r="K181">
        <v>270</v>
      </c>
      <c r="L181">
        <v>120</v>
      </c>
      <c r="M181">
        <v>24</v>
      </c>
      <c r="N181">
        <v>170</v>
      </c>
      <c r="O181">
        <v>0.11</v>
      </c>
      <c r="P181">
        <v>0.39</v>
      </c>
      <c r="Q181">
        <v>0.28999999999999998</v>
      </c>
      <c r="R181">
        <v>0.3</v>
      </c>
      <c r="S181">
        <v>0.46</v>
      </c>
      <c r="T181">
        <v>0.45</v>
      </c>
      <c r="U181">
        <v>0.44</v>
      </c>
    </row>
    <row r="182" spans="2:21" x14ac:dyDescent="0.3">
      <c r="B182" s="54" t="s">
        <v>597</v>
      </c>
      <c r="D182" s="61" t="s">
        <v>174</v>
      </c>
      <c r="F182" s="23">
        <v>1100</v>
      </c>
      <c r="G182">
        <v>2500</v>
      </c>
      <c r="H182">
        <v>280</v>
      </c>
      <c r="I182">
        <v>57</v>
      </c>
      <c r="J182">
        <v>1.6E-2</v>
      </c>
      <c r="K182">
        <v>180</v>
      </c>
      <c r="L182">
        <v>240</v>
      </c>
      <c r="M182">
        <v>52</v>
      </c>
      <c r="N182">
        <v>200</v>
      </c>
      <c r="O182">
        <v>44</v>
      </c>
      <c r="P182">
        <v>11</v>
      </c>
      <c r="Q182">
        <v>1.2</v>
      </c>
      <c r="R182">
        <v>16</v>
      </c>
      <c r="S182">
        <v>1.2</v>
      </c>
      <c r="T182">
        <v>1.1000000000000001</v>
      </c>
      <c r="U182">
        <v>3</v>
      </c>
    </row>
    <row r="183" spans="2:21" x14ac:dyDescent="0.3">
      <c r="B183" s="54" t="s">
        <v>597</v>
      </c>
      <c r="D183" s="61" t="s">
        <v>175</v>
      </c>
      <c r="F183" s="23">
        <v>0.43</v>
      </c>
      <c r="G183">
        <v>1.4</v>
      </c>
      <c r="H183">
        <v>2.9</v>
      </c>
      <c r="I183">
        <v>0.36</v>
      </c>
      <c r="J183">
        <v>1.6E-2</v>
      </c>
      <c r="K183">
        <v>1.9</v>
      </c>
      <c r="L183">
        <v>1.2</v>
      </c>
      <c r="M183">
        <v>9.9000000000000005E-2</v>
      </c>
      <c r="N183">
        <v>0.1</v>
      </c>
      <c r="O183">
        <v>0.38</v>
      </c>
      <c r="P183">
        <v>0.39</v>
      </c>
      <c r="Q183">
        <v>0.28999999999999998</v>
      </c>
      <c r="R183">
        <v>0.3</v>
      </c>
      <c r="S183">
        <v>0.46</v>
      </c>
      <c r="T183">
        <v>0.45</v>
      </c>
      <c r="U183">
        <v>0.44</v>
      </c>
    </row>
    <row r="184" spans="2:21" x14ac:dyDescent="0.3">
      <c r="B184" s="54" t="s">
        <v>597</v>
      </c>
      <c r="D184" s="61" t="s">
        <v>176</v>
      </c>
      <c r="F184" s="23">
        <v>0.43</v>
      </c>
      <c r="G184">
        <v>2.1000000000000001E-2</v>
      </c>
      <c r="H184">
        <v>0.02</v>
      </c>
      <c r="I184">
        <v>0.36</v>
      </c>
      <c r="J184">
        <v>1.6E-2</v>
      </c>
      <c r="K184">
        <v>0.02</v>
      </c>
      <c r="L184">
        <v>2.3E-2</v>
      </c>
      <c r="M184">
        <v>9.9000000000000005E-2</v>
      </c>
      <c r="N184">
        <v>0.1</v>
      </c>
      <c r="O184">
        <v>0.38</v>
      </c>
      <c r="P184">
        <v>0.39</v>
      </c>
      <c r="Q184">
        <v>0.28999999999999998</v>
      </c>
      <c r="R184">
        <v>0.3</v>
      </c>
      <c r="S184">
        <v>0.46</v>
      </c>
      <c r="T184">
        <v>0.45</v>
      </c>
      <c r="U184">
        <v>0.44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322-52A8-4C60-98F8-B0953CD8116C}">
  <dimension ref="B6:AA161"/>
  <sheetViews>
    <sheetView topLeftCell="A121" workbookViewId="0">
      <selection activeCell="D159" sqref="D159"/>
    </sheetView>
  </sheetViews>
  <sheetFormatPr defaultRowHeight="14" x14ac:dyDescent="0.3"/>
  <cols>
    <col min="2" max="2" width="19.6640625" customWidth="1"/>
    <col min="3" max="3" width="13.75" customWidth="1"/>
    <col min="4" max="4" width="31.1640625" customWidth="1"/>
  </cols>
  <sheetData>
    <row r="6" spans="2:27" x14ac:dyDescent="0.3">
      <c r="B6" s="54"/>
      <c r="C6" s="28"/>
      <c r="D6" s="60"/>
      <c r="E6" s="54"/>
      <c r="F6" s="54" t="s">
        <v>57</v>
      </c>
      <c r="G6" s="54" t="s">
        <v>58</v>
      </c>
      <c r="H6" s="54" t="s">
        <v>574</v>
      </c>
      <c r="I6" s="54" t="s">
        <v>60</v>
      </c>
      <c r="J6" s="54" t="s">
        <v>575</v>
      </c>
      <c r="K6" s="54" t="s">
        <v>577</v>
      </c>
      <c r="L6" s="54" t="s">
        <v>73</v>
      </c>
      <c r="M6" s="54" t="s">
        <v>74</v>
      </c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2:27" x14ac:dyDescent="0.3">
      <c r="B7" s="54"/>
      <c r="C7" s="28" t="s">
        <v>599</v>
      </c>
      <c r="D7" s="60"/>
      <c r="E7" s="28" t="s">
        <v>335</v>
      </c>
      <c r="F7" s="54" t="s">
        <v>604</v>
      </c>
      <c r="G7" s="54" t="s">
        <v>605</v>
      </c>
      <c r="H7" s="54" t="s">
        <v>606</v>
      </c>
      <c r="I7" s="54" t="s">
        <v>607</v>
      </c>
      <c r="J7" s="54" t="s">
        <v>608</v>
      </c>
      <c r="K7" s="54" t="s">
        <v>616</v>
      </c>
      <c r="L7" s="54" t="s">
        <v>617</v>
      </c>
      <c r="M7" s="54" t="s">
        <v>618</v>
      </c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2:27" x14ac:dyDescent="0.3">
      <c r="B8" s="54" t="s">
        <v>591</v>
      </c>
      <c r="C8" s="28" t="s">
        <v>600</v>
      </c>
      <c r="D8" s="61" t="s">
        <v>284</v>
      </c>
      <c r="E8" s="36">
        <v>53.2</v>
      </c>
      <c r="F8" s="54">
        <v>230</v>
      </c>
      <c r="G8" s="54">
        <v>734</v>
      </c>
      <c r="H8" s="54">
        <v>1077</v>
      </c>
      <c r="I8" s="54">
        <v>621</v>
      </c>
      <c r="J8" s="54">
        <v>77.3</v>
      </c>
      <c r="K8" s="54">
        <v>85.8</v>
      </c>
      <c r="L8" s="54">
        <v>123</v>
      </c>
      <c r="M8" s="54">
        <v>120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2:27" x14ac:dyDescent="0.3">
      <c r="B9" s="54" t="s">
        <v>596</v>
      </c>
      <c r="C9" s="28" t="s">
        <v>600</v>
      </c>
      <c r="D9" s="61" t="s">
        <v>287</v>
      </c>
      <c r="E9" s="36">
        <v>37.200000000000003</v>
      </c>
      <c r="F9" s="54">
        <v>2026</v>
      </c>
      <c r="G9" s="54">
        <v>2920</v>
      </c>
      <c r="H9" s="54">
        <v>2563</v>
      </c>
      <c r="I9" s="54">
        <v>1544</v>
      </c>
      <c r="J9" s="54">
        <v>396</v>
      </c>
      <c r="K9" s="54">
        <v>178</v>
      </c>
      <c r="L9" s="54">
        <v>300</v>
      </c>
      <c r="M9" s="54">
        <v>273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2:27" x14ac:dyDescent="0.3">
      <c r="B10" s="54" t="s">
        <v>591</v>
      </c>
      <c r="C10" s="28" t="s">
        <v>600</v>
      </c>
      <c r="D10" s="61" t="s">
        <v>289</v>
      </c>
      <c r="E10" s="36">
        <v>34.1</v>
      </c>
      <c r="F10" s="54">
        <v>1944</v>
      </c>
      <c r="G10" s="54">
        <v>2869</v>
      </c>
      <c r="H10" s="54">
        <v>2151</v>
      </c>
      <c r="I10" s="54">
        <v>1066</v>
      </c>
      <c r="J10" s="54">
        <v>618</v>
      </c>
      <c r="K10" s="54">
        <v>245</v>
      </c>
      <c r="L10" s="54">
        <v>266</v>
      </c>
      <c r="M10" s="54">
        <v>202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2:27" x14ac:dyDescent="0.3">
      <c r="B11" s="54" t="s">
        <v>592</v>
      </c>
      <c r="C11" s="28" t="s">
        <v>600</v>
      </c>
      <c r="D11" s="60" t="s">
        <v>48</v>
      </c>
      <c r="E11" s="36">
        <v>35</v>
      </c>
      <c r="F11" s="54">
        <v>2405</v>
      </c>
      <c r="G11" s="54">
        <v>3335</v>
      </c>
      <c r="H11" s="54">
        <v>2445</v>
      </c>
      <c r="I11" s="54">
        <v>2031</v>
      </c>
      <c r="J11" s="54">
        <v>849</v>
      </c>
      <c r="K11" s="54">
        <v>384</v>
      </c>
      <c r="L11" s="54">
        <v>409</v>
      </c>
      <c r="M11" s="54">
        <v>368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2:27" x14ac:dyDescent="0.3">
      <c r="B12" s="60" t="s">
        <v>593</v>
      </c>
      <c r="C12" s="61" t="s">
        <v>600</v>
      </c>
      <c r="D12" s="60" t="s">
        <v>48</v>
      </c>
      <c r="E12" s="62">
        <v>35</v>
      </c>
      <c r="F12" s="60">
        <v>1494.5054945054901</v>
      </c>
      <c r="G12" s="60">
        <v>1890.1098901098901</v>
      </c>
      <c r="H12" s="60">
        <v>1186.81318681318</v>
      </c>
      <c r="I12" s="60">
        <v>615.38461538461502</v>
      </c>
      <c r="J12" s="60">
        <v>567.76556776556697</v>
      </c>
      <c r="K12" s="60">
        <v>201.46520146520101</v>
      </c>
      <c r="L12" s="60">
        <v>271.06227106227101</v>
      </c>
      <c r="M12" s="60">
        <v>238.09523809523799</v>
      </c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2:27" x14ac:dyDescent="0.3">
      <c r="B13" s="54" t="s">
        <v>595</v>
      </c>
      <c r="C13" s="28" t="s">
        <v>600</v>
      </c>
      <c r="D13" s="60" t="s">
        <v>195</v>
      </c>
      <c r="E13" s="36">
        <v>35.72</v>
      </c>
      <c r="F13" s="54">
        <v>987</v>
      </c>
      <c r="G13" s="54">
        <v>1769</v>
      </c>
      <c r="H13" s="54">
        <v>1734</v>
      </c>
      <c r="I13" s="54">
        <v>763</v>
      </c>
      <c r="J13" s="54">
        <v>559</v>
      </c>
      <c r="K13" s="54">
        <v>189</v>
      </c>
      <c r="L13" s="54">
        <v>289</v>
      </c>
      <c r="M13" s="54">
        <v>295</v>
      </c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2:27" x14ac:dyDescent="0.3">
      <c r="B14" s="54" t="s">
        <v>594</v>
      </c>
      <c r="C14" s="28" t="s">
        <v>600</v>
      </c>
      <c r="D14" s="60" t="s">
        <v>205</v>
      </c>
      <c r="E14" s="36">
        <v>34.380000000000003</v>
      </c>
      <c r="F14" s="54">
        <v>951.6</v>
      </c>
      <c r="G14" s="54">
        <v>1451.7</v>
      </c>
      <c r="H14" s="54">
        <v>1546.3</v>
      </c>
      <c r="I14" s="54">
        <v>929.5</v>
      </c>
      <c r="J14" s="54">
        <v>358.9</v>
      </c>
      <c r="K14" s="54">
        <v>108.6</v>
      </c>
      <c r="L14" s="54">
        <v>160.69999999999999</v>
      </c>
      <c r="M14" s="54">
        <v>140.19999999999999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2:27" x14ac:dyDescent="0.3">
      <c r="B15" s="54" t="s">
        <v>594</v>
      </c>
      <c r="C15" s="28" t="s">
        <v>600</v>
      </c>
      <c r="D15" s="60" t="s">
        <v>198</v>
      </c>
      <c r="E15" s="36">
        <v>37.520000000000003</v>
      </c>
      <c r="F15" s="54">
        <v>3664</v>
      </c>
      <c r="G15" s="54">
        <v>6927</v>
      </c>
      <c r="H15" s="54">
        <v>6636</v>
      </c>
      <c r="I15" s="54">
        <v>2805</v>
      </c>
      <c r="J15" s="54">
        <v>1000</v>
      </c>
      <c r="K15" s="54">
        <v>799</v>
      </c>
      <c r="L15" s="54">
        <v>756</v>
      </c>
      <c r="M15" s="54">
        <v>360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2:27" x14ac:dyDescent="0.3">
      <c r="B16" s="54" t="s">
        <v>594</v>
      </c>
      <c r="C16" s="28" t="s">
        <v>600</v>
      </c>
      <c r="D16" s="60" t="s">
        <v>204</v>
      </c>
      <c r="E16" s="36">
        <v>32.72</v>
      </c>
      <c r="F16" s="54">
        <v>952.7</v>
      </c>
      <c r="G16" s="54">
        <v>1500.1</v>
      </c>
      <c r="H16" s="54">
        <v>1765.7</v>
      </c>
      <c r="I16" s="54">
        <v>886.3</v>
      </c>
      <c r="J16" s="54">
        <v>569.79999999999995</v>
      </c>
      <c r="K16" s="54">
        <v>181.7</v>
      </c>
      <c r="L16" s="54">
        <v>291.39999999999998</v>
      </c>
      <c r="M16" s="54">
        <v>246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2:27" x14ac:dyDescent="0.3">
      <c r="B17" s="54" t="s">
        <v>594</v>
      </c>
      <c r="C17" s="28" t="s">
        <v>600</v>
      </c>
      <c r="D17" s="60" t="s">
        <v>196</v>
      </c>
      <c r="E17" s="36">
        <v>31.3</v>
      </c>
      <c r="F17" s="54">
        <v>391.7</v>
      </c>
      <c r="G17" s="54">
        <v>1123.3</v>
      </c>
      <c r="H17" s="54">
        <v>1542.2</v>
      </c>
      <c r="I17" s="54">
        <v>831.2</v>
      </c>
      <c r="J17" s="54">
        <v>293</v>
      </c>
      <c r="K17" s="54">
        <v>94.6</v>
      </c>
      <c r="L17" s="54">
        <v>183.9</v>
      </c>
      <c r="M17" s="54">
        <v>199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spans="2:27" x14ac:dyDescent="0.3">
      <c r="B18" s="54" t="s">
        <v>591</v>
      </c>
      <c r="C18" s="28" t="s">
        <v>601</v>
      </c>
      <c r="D18" s="61" t="s">
        <v>293</v>
      </c>
      <c r="E18" s="37">
        <v>28.4</v>
      </c>
      <c r="F18" s="54">
        <v>2900</v>
      </c>
      <c r="G18" s="54">
        <v>3646</v>
      </c>
      <c r="H18" s="54">
        <v>2837</v>
      </c>
      <c r="I18" s="54">
        <v>1677</v>
      </c>
      <c r="J18" s="54">
        <v>585</v>
      </c>
      <c r="K18" s="54">
        <v>347</v>
      </c>
      <c r="L18" s="54">
        <v>484</v>
      </c>
      <c r="M18" s="54">
        <v>396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spans="2:27" x14ac:dyDescent="0.3">
      <c r="B19" s="54" t="s">
        <v>591</v>
      </c>
      <c r="C19" s="28" t="s">
        <v>601</v>
      </c>
      <c r="D19" s="61" t="s">
        <v>319</v>
      </c>
      <c r="E19" s="37">
        <v>27</v>
      </c>
      <c r="F19" s="54">
        <v>616</v>
      </c>
      <c r="G19" s="54">
        <v>1262</v>
      </c>
      <c r="H19" s="54">
        <v>1625</v>
      </c>
      <c r="I19" s="54">
        <v>1096</v>
      </c>
      <c r="J19" s="54">
        <v>169</v>
      </c>
      <c r="K19" s="54">
        <v>80.5</v>
      </c>
      <c r="L19" s="54">
        <v>169</v>
      </c>
      <c r="M19" s="54">
        <v>277</v>
      </c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2:27" x14ac:dyDescent="0.3">
      <c r="B20" s="54" t="s">
        <v>594</v>
      </c>
      <c r="C20" s="28" t="s">
        <v>601</v>
      </c>
      <c r="D20" s="60" t="s">
        <v>193</v>
      </c>
      <c r="E20" s="37">
        <v>30.89</v>
      </c>
      <c r="F20" s="54">
        <v>1015</v>
      </c>
      <c r="G20" s="54">
        <v>1800</v>
      </c>
      <c r="H20" s="54">
        <v>1702</v>
      </c>
      <c r="I20" s="54">
        <v>815</v>
      </c>
      <c r="J20" s="54">
        <v>666</v>
      </c>
      <c r="K20" s="54">
        <v>328</v>
      </c>
      <c r="L20" s="54">
        <v>447</v>
      </c>
      <c r="M20" s="54">
        <v>379</v>
      </c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2:27" x14ac:dyDescent="0.3">
      <c r="B21" s="54" t="s">
        <v>591</v>
      </c>
      <c r="C21" s="28" t="s">
        <v>602</v>
      </c>
      <c r="D21" s="61" t="s">
        <v>296</v>
      </c>
      <c r="E21" s="38">
        <v>15.8</v>
      </c>
      <c r="F21" s="54">
        <v>377</v>
      </c>
      <c r="G21" s="54">
        <v>744</v>
      </c>
      <c r="H21" s="54">
        <v>882</v>
      </c>
      <c r="I21" s="54">
        <v>820</v>
      </c>
      <c r="J21" s="54">
        <v>91.4</v>
      </c>
      <c r="K21" s="54">
        <v>38.5</v>
      </c>
      <c r="L21" s="54">
        <v>80.5</v>
      </c>
      <c r="M21" s="54">
        <v>78.7</v>
      </c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2:27" x14ac:dyDescent="0.3">
      <c r="B22" s="54" t="s">
        <v>594</v>
      </c>
      <c r="C22" s="28" t="s">
        <v>602</v>
      </c>
      <c r="D22" s="60" t="s">
        <v>203</v>
      </c>
      <c r="E22" s="38">
        <v>19.32</v>
      </c>
      <c r="F22" s="54">
        <v>511</v>
      </c>
      <c r="G22" s="54">
        <v>1057</v>
      </c>
      <c r="H22" s="54">
        <v>1144</v>
      </c>
      <c r="I22" s="54">
        <v>599</v>
      </c>
      <c r="J22" s="54">
        <v>237</v>
      </c>
      <c r="K22" s="54">
        <v>39</v>
      </c>
      <c r="L22" s="54">
        <v>68</v>
      </c>
      <c r="M22" s="54">
        <v>64</v>
      </c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2:27" x14ac:dyDescent="0.3">
      <c r="B23" s="54" t="s">
        <v>594</v>
      </c>
      <c r="C23" s="28" t="s">
        <v>602</v>
      </c>
      <c r="D23" s="60" t="s">
        <v>200</v>
      </c>
      <c r="E23" s="38">
        <v>11.55</v>
      </c>
      <c r="F23" s="54">
        <v>2048</v>
      </c>
      <c r="G23" s="54">
        <v>4790</v>
      </c>
      <c r="H23" s="54">
        <v>5001</v>
      </c>
      <c r="I23" s="54">
        <v>2385</v>
      </c>
      <c r="J23" s="54">
        <v>4274</v>
      </c>
      <c r="K23" s="54">
        <v>1021</v>
      </c>
      <c r="L23" s="54">
        <v>1809</v>
      </c>
      <c r="M23" s="54">
        <v>1799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2:27" x14ac:dyDescent="0.3">
      <c r="B24" s="54" t="s">
        <v>594</v>
      </c>
      <c r="C24" s="28" t="s">
        <v>602</v>
      </c>
      <c r="D24" s="60" t="s">
        <v>201</v>
      </c>
      <c r="E24" s="38">
        <v>11.47</v>
      </c>
      <c r="F24" s="54">
        <v>1250</v>
      </c>
      <c r="G24" s="54">
        <v>2861</v>
      </c>
      <c r="H24" s="54">
        <v>2886</v>
      </c>
      <c r="I24" s="54">
        <v>1422</v>
      </c>
      <c r="J24" s="54">
        <v>1870</v>
      </c>
      <c r="K24" s="54">
        <v>565</v>
      </c>
      <c r="L24" s="54">
        <v>978</v>
      </c>
      <c r="M24" s="54">
        <v>936</v>
      </c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2:27" x14ac:dyDescent="0.3">
      <c r="B25" s="54" t="s">
        <v>594</v>
      </c>
      <c r="C25" s="28" t="s">
        <v>602</v>
      </c>
      <c r="D25" s="60" t="s">
        <v>202</v>
      </c>
      <c r="E25" s="38">
        <v>8.6300000000000008</v>
      </c>
      <c r="F25" s="54">
        <v>31</v>
      </c>
      <c r="G25" s="54">
        <v>90</v>
      </c>
      <c r="H25" s="54">
        <v>143</v>
      </c>
      <c r="I25" s="54">
        <v>212</v>
      </c>
      <c r="J25" s="54">
        <v>86</v>
      </c>
      <c r="K25" s="54">
        <v>41</v>
      </c>
      <c r="L25" s="54">
        <v>145</v>
      </c>
      <c r="M25" s="54">
        <v>212</v>
      </c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7" spans="2:27" x14ac:dyDescent="0.3">
      <c r="B27" s="54"/>
      <c r="C27" s="28"/>
      <c r="D27" s="60"/>
      <c r="E27" s="54"/>
      <c r="F27" s="54"/>
      <c r="G27" s="54"/>
      <c r="H27" s="54"/>
      <c r="I27" s="54"/>
      <c r="J27" s="54"/>
      <c r="K27" s="54"/>
      <c r="L27" s="54"/>
      <c r="M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2:27" x14ac:dyDescent="0.3">
      <c r="B28" s="54"/>
      <c r="C28" s="28"/>
      <c r="D28" s="60"/>
      <c r="E28" s="54"/>
      <c r="F28" s="54"/>
      <c r="G28" s="54"/>
      <c r="H28" s="54"/>
      <c r="I28" s="54"/>
      <c r="J28" s="54"/>
      <c r="K28" s="54"/>
      <c r="L28" s="54"/>
      <c r="M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2:27" x14ac:dyDescent="0.3">
      <c r="B29" s="54"/>
      <c r="C29" s="28"/>
      <c r="D29" s="60"/>
      <c r="E29" s="54"/>
      <c r="F29" s="54"/>
      <c r="G29" s="54"/>
      <c r="H29" s="54"/>
      <c r="I29" s="54"/>
      <c r="J29" s="54"/>
      <c r="K29" s="54"/>
      <c r="L29" s="54"/>
      <c r="M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2:27" x14ac:dyDescent="0.3">
      <c r="B30" s="54" t="s">
        <v>591</v>
      </c>
      <c r="C30" s="28"/>
      <c r="D30" s="60" t="s">
        <v>301</v>
      </c>
      <c r="E30" s="28">
        <v>41.8</v>
      </c>
      <c r="F30" s="54">
        <v>8085</v>
      </c>
      <c r="G30" s="54">
        <v>9497</v>
      </c>
      <c r="H30" s="54">
        <v>3562</v>
      </c>
      <c r="I30" s="54">
        <v>633</v>
      </c>
      <c r="J30" s="54">
        <v>7.03</v>
      </c>
      <c r="K30" s="54">
        <v>55.4</v>
      </c>
      <c r="L30" s="54">
        <v>14.9</v>
      </c>
      <c r="M30" s="54">
        <v>0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2:27" x14ac:dyDescent="0.3">
      <c r="B31" s="54" t="s">
        <v>596</v>
      </c>
      <c r="C31" s="28"/>
      <c r="D31" s="60" t="s">
        <v>587</v>
      </c>
      <c r="E31" s="28">
        <v>37.5</v>
      </c>
      <c r="F31" s="54">
        <v>3614</v>
      </c>
      <c r="G31" s="54">
        <v>6328</v>
      </c>
      <c r="H31" s="54">
        <v>6077</v>
      </c>
      <c r="I31" s="54">
        <v>3078</v>
      </c>
      <c r="J31" s="54">
        <v>1.081</v>
      </c>
      <c r="K31" s="54">
        <v>775</v>
      </c>
      <c r="L31" s="54">
        <v>992</v>
      </c>
      <c r="M31" s="54">
        <v>775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2:27" x14ac:dyDescent="0.3">
      <c r="B32" s="54" t="s">
        <v>591</v>
      </c>
      <c r="C32" s="28"/>
      <c r="D32" s="60" t="s">
        <v>254</v>
      </c>
      <c r="E32" s="28">
        <v>14.7</v>
      </c>
      <c r="F32" s="54">
        <v>1624</v>
      </c>
      <c r="G32" s="54">
        <v>3611</v>
      </c>
      <c r="H32" s="54">
        <v>3620</v>
      </c>
      <c r="I32" s="54">
        <v>1669</v>
      </c>
      <c r="J32" s="54">
        <v>1762</v>
      </c>
      <c r="K32" s="54">
        <v>543</v>
      </c>
      <c r="L32" s="54">
        <v>785</v>
      </c>
      <c r="M32" s="54">
        <v>699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2:27" x14ac:dyDescent="0.3">
      <c r="B33" s="54" t="s">
        <v>591</v>
      </c>
      <c r="C33" s="28"/>
      <c r="D33" s="60" t="s">
        <v>588</v>
      </c>
      <c r="E33" s="28">
        <v>11.55</v>
      </c>
      <c r="F33" s="54">
        <v>2010</v>
      </c>
      <c r="G33" s="54">
        <v>4325</v>
      </c>
      <c r="H33" s="54">
        <v>4450</v>
      </c>
      <c r="I33" s="54">
        <v>2801</v>
      </c>
      <c r="J33" s="54">
        <v>3836</v>
      </c>
      <c r="K33" s="54">
        <v>525</v>
      </c>
      <c r="L33" s="54">
        <v>1058</v>
      </c>
      <c r="M33" s="54">
        <v>1349</v>
      </c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2:27" x14ac:dyDescent="0.3">
      <c r="B34" s="54" t="s">
        <v>591</v>
      </c>
      <c r="C34" s="28"/>
      <c r="D34" s="60" t="s">
        <v>589</v>
      </c>
      <c r="E34" s="28" t="s">
        <v>334</v>
      </c>
      <c r="F34" s="54">
        <v>1231</v>
      </c>
      <c r="G34" s="54">
        <v>1857</v>
      </c>
      <c r="H34" s="54">
        <v>1665</v>
      </c>
      <c r="I34" s="54">
        <v>970</v>
      </c>
      <c r="J34" s="54">
        <v>1837</v>
      </c>
      <c r="K34" s="54">
        <v>265</v>
      </c>
      <c r="L34" s="54">
        <v>451</v>
      </c>
      <c r="M34" s="54">
        <v>510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2:27" x14ac:dyDescent="0.3">
      <c r="B35" s="54" t="s">
        <v>591</v>
      </c>
      <c r="C35" s="28"/>
      <c r="D35" s="60" t="s">
        <v>302</v>
      </c>
      <c r="E35" s="28">
        <v>28.3</v>
      </c>
      <c r="F35" s="54">
        <v>0.78</v>
      </c>
      <c r="G35" s="54">
        <v>1.17</v>
      </c>
      <c r="H35" s="54">
        <v>1.01</v>
      </c>
      <c r="I35" s="54">
        <v>0.79</v>
      </c>
      <c r="J35" s="54">
        <v>2.27</v>
      </c>
      <c r="K35" s="54">
        <v>1.04</v>
      </c>
      <c r="L35" s="54">
        <v>2.13</v>
      </c>
      <c r="M35" s="54">
        <v>6.19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2:27" x14ac:dyDescent="0.3">
      <c r="B36" s="54" t="s">
        <v>597</v>
      </c>
      <c r="C36" s="28"/>
      <c r="D36" s="60" t="s">
        <v>168</v>
      </c>
      <c r="E36" s="28" t="s">
        <v>337</v>
      </c>
      <c r="F36" s="54">
        <v>2200</v>
      </c>
      <c r="G36" s="54">
        <v>280</v>
      </c>
      <c r="H36" s="54">
        <v>92</v>
      </c>
      <c r="I36" s="54">
        <v>25</v>
      </c>
      <c r="J36" s="54">
        <v>32</v>
      </c>
      <c r="K36" s="54">
        <v>30</v>
      </c>
      <c r="L36" s="54">
        <v>30</v>
      </c>
      <c r="M36" s="54">
        <v>9.1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2:27" x14ac:dyDescent="0.3">
      <c r="B37" s="54" t="s">
        <v>598</v>
      </c>
      <c r="C37" s="28"/>
      <c r="D37" s="60" t="s">
        <v>169</v>
      </c>
      <c r="E37" s="28" t="s">
        <v>389</v>
      </c>
      <c r="F37" s="54">
        <v>290</v>
      </c>
      <c r="G37" s="54">
        <v>99</v>
      </c>
      <c r="H37" s="54">
        <v>37</v>
      </c>
      <c r="I37" s="54">
        <v>12</v>
      </c>
      <c r="J37" s="54">
        <v>17</v>
      </c>
      <c r="K37" s="54">
        <v>18</v>
      </c>
      <c r="L37" s="54">
        <v>18</v>
      </c>
      <c r="M37" s="54">
        <v>5.9</v>
      </c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2:27" x14ac:dyDescent="0.3">
      <c r="B38" s="54" t="s">
        <v>597</v>
      </c>
      <c r="C38" s="28"/>
      <c r="D38" s="60" t="s">
        <v>170</v>
      </c>
      <c r="E38" s="28" t="s">
        <v>336</v>
      </c>
      <c r="F38" s="54">
        <v>2800</v>
      </c>
      <c r="G38" s="54">
        <v>2000</v>
      </c>
      <c r="H38" s="54">
        <v>530</v>
      </c>
      <c r="I38" s="54">
        <v>81</v>
      </c>
      <c r="J38" s="54">
        <v>0.5</v>
      </c>
      <c r="K38" s="54">
        <v>7.1</v>
      </c>
      <c r="L38" s="54">
        <v>4.5</v>
      </c>
      <c r="M38" s="54" t="s">
        <v>178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2:27" x14ac:dyDescent="0.3">
      <c r="B39" s="54" t="s">
        <v>597</v>
      </c>
      <c r="C39" s="28"/>
      <c r="D39" s="60" t="s">
        <v>166</v>
      </c>
      <c r="E39" s="28" t="s">
        <v>338</v>
      </c>
      <c r="F39" s="54">
        <v>680</v>
      </c>
      <c r="G39" s="54">
        <v>510</v>
      </c>
      <c r="H39" s="54">
        <v>190</v>
      </c>
      <c r="I39" s="54">
        <v>37</v>
      </c>
      <c r="J39" s="54">
        <v>1</v>
      </c>
      <c r="K39" s="54">
        <v>4.0999999999999996</v>
      </c>
      <c r="L39" s="54">
        <v>3.7</v>
      </c>
      <c r="M39" s="54" t="s">
        <v>178</v>
      </c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2:27" x14ac:dyDescent="0.3">
      <c r="B40" s="54" t="s">
        <v>597</v>
      </c>
      <c r="C40" s="28"/>
      <c r="D40" s="60" t="s">
        <v>171</v>
      </c>
      <c r="E40" s="28" t="s">
        <v>339</v>
      </c>
      <c r="F40" s="54">
        <v>780</v>
      </c>
      <c r="G40" s="54">
        <v>1700</v>
      </c>
      <c r="H40" s="54">
        <v>2300</v>
      </c>
      <c r="I40" s="54">
        <v>1500</v>
      </c>
      <c r="J40" s="54">
        <v>390</v>
      </c>
      <c r="K40" s="54">
        <v>200</v>
      </c>
      <c r="L40" s="54">
        <v>530</v>
      </c>
      <c r="M40" s="54">
        <v>410</v>
      </c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2:27" x14ac:dyDescent="0.3">
      <c r="B41" s="54" t="s">
        <v>597</v>
      </c>
      <c r="C41" s="28"/>
      <c r="D41" s="60" t="s">
        <v>172</v>
      </c>
      <c r="E41" s="28">
        <v>35</v>
      </c>
      <c r="F41" s="54">
        <v>18000</v>
      </c>
      <c r="G41" s="54">
        <v>21000</v>
      </c>
      <c r="H41" s="54">
        <v>18000</v>
      </c>
      <c r="I41" s="54">
        <v>9300</v>
      </c>
      <c r="J41" s="54">
        <v>5200</v>
      </c>
      <c r="K41" s="54">
        <v>1600</v>
      </c>
      <c r="L41" s="54">
        <v>2800</v>
      </c>
      <c r="M41" s="54">
        <v>1700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2:27" x14ac:dyDescent="0.3">
      <c r="B42" s="54" t="s">
        <v>597</v>
      </c>
      <c r="C42" s="28"/>
      <c r="D42" s="60" t="s">
        <v>167</v>
      </c>
      <c r="E42" s="28" t="s">
        <v>389</v>
      </c>
      <c r="F42" s="54">
        <v>23000</v>
      </c>
      <c r="G42" s="54">
        <v>26000</v>
      </c>
      <c r="H42" s="54">
        <v>22000</v>
      </c>
      <c r="I42" s="54">
        <v>11000</v>
      </c>
      <c r="J42" s="54">
        <v>6100</v>
      </c>
      <c r="K42" s="54">
        <v>1900</v>
      </c>
      <c r="L42" s="54">
        <v>3400</v>
      </c>
      <c r="M42" s="54">
        <v>1800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2:27" x14ac:dyDescent="0.3">
      <c r="B43" s="54" t="s">
        <v>597</v>
      </c>
      <c r="C43" s="28"/>
      <c r="D43" s="60" t="s">
        <v>173</v>
      </c>
      <c r="E43" s="28" t="s">
        <v>389</v>
      </c>
      <c r="F43" s="54">
        <v>11000</v>
      </c>
      <c r="G43" s="54">
        <v>12000</v>
      </c>
      <c r="H43" s="54">
        <v>9800</v>
      </c>
      <c r="I43" s="54">
        <v>5300</v>
      </c>
      <c r="J43" s="54">
        <v>3100</v>
      </c>
      <c r="K43" s="54">
        <v>1200</v>
      </c>
      <c r="L43" s="54">
        <v>2200</v>
      </c>
      <c r="M43" s="54">
        <v>1300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2:27" x14ac:dyDescent="0.3">
      <c r="B44" s="54" t="s">
        <v>597</v>
      </c>
      <c r="C44" s="28"/>
      <c r="D44" s="60" t="s">
        <v>174</v>
      </c>
      <c r="E44" s="28">
        <v>19</v>
      </c>
      <c r="F44" s="54">
        <v>6200</v>
      </c>
      <c r="G44" s="54">
        <v>7200</v>
      </c>
      <c r="H44" s="54">
        <v>5800</v>
      </c>
      <c r="I44" s="54">
        <v>3000</v>
      </c>
      <c r="J44" s="54">
        <v>3800</v>
      </c>
      <c r="K44" s="54">
        <v>760</v>
      </c>
      <c r="L44" s="54">
        <v>1600</v>
      </c>
      <c r="M44" s="54">
        <v>810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2:27" x14ac:dyDescent="0.3">
      <c r="B45" s="54" t="s">
        <v>597</v>
      </c>
      <c r="C45" s="28"/>
      <c r="D45" s="60" t="s">
        <v>175</v>
      </c>
      <c r="E45" s="28" t="s">
        <v>340</v>
      </c>
      <c r="F45" s="54">
        <v>2.2999999999999998</v>
      </c>
      <c r="G45" s="54">
        <v>22</v>
      </c>
      <c r="H45" s="54">
        <v>160</v>
      </c>
      <c r="I45" s="54">
        <v>160</v>
      </c>
      <c r="J45" s="54">
        <v>29</v>
      </c>
      <c r="K45" s="54">
        <v>28</v>
      </c>
      <c r="L45" s="54">
        <v>130</v>
      </c>
      <c r="M45" s="54">
        <v>92</v>
      </c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2:27" x14ac:dyDescent="0.3">
      <c r="B46" s="54" t="s">
        <v>597</v>
      </c>
      <c r="C46" s="28"/>
      <c r="D46" s="60" t="s">
        <v>176</v>
      </c>
      <c r="E46" s="28" t="s">
        <v>766</v>
      </c>
      <c r="F46" s="54">
        <v>2</v>
      </c>
      <c r="G46" s="54">
        <v>14</v>
      </c>
      <c r="H46" s="54">
        <v>4</v>
      </c>
      <c r="I46" s="54">
        <v>4.3</v>
      </c>
      <c r="J46" s="54" t="s">
        <v>178</v>
      </c>
      <c r="K46" s="54" t="s">
        <v>178</v>
      </c>
      <c r="L46" s="54" t="s">
        <v>178</v>
      </c>
      <c r="M46" s="54" t="s">
        <v>178</v>
      </c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2:27" x14ac:dyDescent="0.3"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2:27" x14ac:dyDescent="0.3">
      <c r="B48" s="54"/>
      <c r="C48" s="28"/>
      <c r="D48" s="60"/>
      <c r="E48" s="54"/>
      <c r="F48" s="54"/>
      <c r="G48" s="54"/>
      <c r="H48" s="54"/>
      <c r="I48" s="54"/>
      <c r="J48" s="54"/>
      <c r="K48" s="54"/>
      <c r="L48" s="54"/>
      <c r="M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2:27" x14ac:dyDescent="0.3">
      <c r="B49" s="54"/>
      <c r="C49" s="28"/>
      <c r="D49" s="60"/>
      <c r="E49" s="54"/>
      <c r="F49" s="54"/>
      <c r="G49" s="54"/>
      <c r="H49" s="54"/>
      <c r="I49" s="54"/>
      <c r="J49" s="54"/>
      <c r="K49" s="54"/>
      <c r="L49" s="54"/>
      <c r="M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2:27" x14ac:dyDescent="0.3">
      <c r="B50" s="28"/>
      <c r="C50" s="23"/>
      <c r="D50" s="60"/>
      <c r="E50" s="54"/>
      <c r="F50" s="54"/>
      <c r="G50" s="54"/>
      <c r="H50" s="54"/>
      <c r="I50" s="54"/>
      <c r="J50" s="54"/>
      <c r="K50" s="54"/>
      <c r="L50" s="54"/>
      <c r="M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62" spans="2:27" x14ac:dyDescent="0.3">
      <c r="F62" s="72"/>
    </row>
    <row r="63" spans="2:27" x14ac:dyDescent="0.3">
      <c r="F63" s="72"/>
    </row>
    <row r="64" spans="2:27" x14ac:dyDescent="0.3">
      <c r="F64" s="72"/>
    </row>
    <row r="65" spans="2:22" x14ac:dyDescent="0.3">
      <c r="B65" s="54"/>
      <c r="C65" s="28"/>
      <c r="D65" s="60"/>
      <c r="E65" s="28"/>
      <c r="F65" s="72" t="s">
        <v>579</v>
      </c>
      <c r="G65" s="54" t="s">
        <v>580</v>
      </c>
      <c r="H65" s="54" t="s">
        <v>581</v>
      </c>
      <c r="I65" s="54" t="s">
        <v>83</v>
      </c>
      <c r="J65" s="54" t="s">
        <v>85</v>
      </c>
      <c r="K65" s="54" t="s">
        <v>105</v>
      </c>
      <c r="L65" s="54" t="s">
        <v>113</v>
      </c>
      <c r="M65" s="54" t="s">
        <v>115</v>
      </c>
      <c r="N65" s="54"/>
      <c r="O65" s="54"/>
      <c r="P65" s="54"/>
      <c r="Q65" s="54"/>
      <c r="S65" s="54"/>
      <c r="V65" s="54"/>
    </row>
    <row r="66" spans="2:22" x14ac:dyDescent="0.3">
      <c r="B66" s="54"/>
      <c r="C66" s="28"/>
      <c r="D66" s="60"/>
      <c r="E66" s="28"/>
      <c r="F66" s="72" t="s">
        <v>583</v>
      </c>
      <c r="G66" s="54" t="s">
        <v>584</v>
      </c>
      <c r="H66" s="54" t="s">
        <v>623</v>
      </c>
      <c r="I66" s="54" t="s">
        <v>619</v>
      </c>
      <c r="J66" s="54" t="s">
        <v>620</v>
      </c>
      <c r="K66" s="54" t="s">
        <v>628</v>
      </c>
      <c r="L66" s="54" t="s">
        <v>630</v>
      </c>
      <c r="M66" s="54" t="s">
        <v>764</v>
      </c>
      <c r="N66" s="54"/>
      <c r="O66" s="54"/>
      <c r="P66" s="54"/>
      <c r="Q66" s="54"/>
      <c r="S66" s="54"/>
      <c r="V66" s="54"/>
    </row>
    <row r="67" spans="2:22" x14ac:dyDescent="0.3">
      <c r="B67" s="54" t="s">
        <v>591</v>
      </c>
      <c r="C67" s="28" t="s">
        <v>600</v>
      </c>
      <c r="D67" s="61" t="s">
        <v>284</v>
      </c>
      <c r="E67" s="36">
        <v>53.2</v>
      </c>
      <c r="F67" s="72">
        <v>30.3</v>
      </c>
      <c r="G67" s="54">
        <v>36.299999999999997</v>
      </c>
      <c r="H67" s="54">
        <v>28.7</v>
      </c>
      <c r="I67" s="54">
        <v>3.91</v>
      </c>
      <c r="J67" s="54">
        <v>24.2</v>
      </c>
      <c r="K67" s="54">
        <v>0.74</v>
      </c>
      <c r="L67" s="54">
        <v>0.38</v>
      </c>
      <c r="M67" s="54">
        <v>1.29</v>
      </c>
      <c r="N67" s="54"/>
      <c r="O67" s="54"/>
      <c r="P67" s="54"/>
      <c r="Q67" s="54"/>
      <c r="S67" s="54"/>
      <c r="V67" s="54"/>
    </row>
    <row r="68" spans="2:22" x14ac:dyDescent="0.3">
      <c r="B68" s="54" t="s">
        <v>591</v>
      </c>
      <c r="C68" s="28" t="s">
        <v>600</v>
      </c>
      <c r="D68" s="61" t="s">
        <v>287</v>
      </c>
      <c r="E68" s="36">
        <v>37.200000000000003</v>
      </c>
      <c r="F68" s="72">
        <v>806</v>
      </c>
      <c r="G68" s="54">
        <v>145</v>
      </c>
      <c r="H68" s="54">
        <v>58.9</v>
      </c>
      <c r="I68" s="54">
        <v>15.9</v>
      </c>
      <c r="J68" s="54">
        <v>13.6</v>
      </c>
      <c r="K68" s="54">
        <v>0.59</v>
      </c>
      <c r="L68" s="54">
        <v>0</v>
      </c>
      <c r="M68" s="54">
        <v>0.7</v>
      </c>
      <c r="N68" s="54"/>
      <c r="O68" s="54"/>
      <c r="P68" s="54"/>
      <c r="Q68" s="54"/>
      <c r="S68" s="54"/>
      <c r="V68" s="54"/>
    </row>
    <row r="69" spans="2:22" x14ac:dyDescent="0.3">
      <c r="B69" s="54" t="s">
        <v>591</v>
      </c>
      <c r="C69" s="28" t="s">
        <v>600</v>
      </c>
      <c r="D69" s="61" t="s">
        <v>289</v>
      </c>
      <c r="E69" s="36">
        <v>34.1</v>
      </c>
      <c r="F69" s="72">
        <v>579</v>
      </c>
      <c r="G69" s="54">
        <v>296</v>
      </c>
      <c r="H69" s="54">
        <v>106</v>
      </c>
      <c r="I69" s="54">
        <v>12.5</v>
      </c>
      <c r="J69" s="54">
        <v>18.600000000000001</v>
      </c>
      <c r="K69" s="54">
        <v>3.71</v>
      </c>
      <c r="L69" s="54">
        <v>0.63</v>
      </c>
      <c r="M69" s="54">
        <v>4.2699999999999996</v>
      </c>
      <c r="N69" s="54"/>
      <c r="O69" s="54"/>
      <c r="P69" s="54"/>
      <c r="Q69" s="54"/>
      <c r="S69" s="54"/>
      <c r="V69" s="54"/>
    </row>
    <row r="70" spans="2:22" x14ac:dyDescent="0.3">
      <c r="B70" s="54" t="s">
        <v>592</v>
      </c>
      <c r="C70" s="28" t="s">
        <v>600</v>
      </c>
      <c r="D70" s="61" t="s">
        <v>48</v>
      </c>
      <c r="E70" s="36">
        <v>35</v>
      </c>
      <c r="F70" s="72">
        <v>712</v>
      </c>
      <c r="G70" s="54">
        <v>297</v>
      </c>
      <c r="H70" s="54">
        <v>123</v>
      </c>
      <c r="I70" s="54">
        <v>5.2</v>
      </c>
      <c r="J70" s="54">
        <v>58</v>
      </c>
      <c r="K70" s="54">
        <v>2.2999999999999998</v>
      </c>
      <c r="L70" s="54">
        <v>1.4</v>
      </c>
      <c r="M70" s="54">
        <v>5</v>
      </c>
      <c r="N70" s="54"/>
      <c r="O70" s="54"/>
      <c r="P70" s="54"/>
      <c r="Q70" s="54"/>
      <c r="S70" s="54"/>
      <c r="V70" s="54"/>
    </row>
    <row r="71" spans="2:22" x14ac:dyDescent="0.3">
      <c r="B71" s="60" t="s">
        <v>593</v>
      </c>
      <c r="C71" s="61" t="s">
        <v>600</v>
      </c>
      <c r="D71" s="61" t="s">
        <v>48</v>
      </c>
      <c r="E71" s="62">
        <v>35</v>
      </c>
      <c r="F71" s="72">
        <v>681.3</v>
      </c>
      <c r="G71" s="60">
        <v>249.084249084248</v>
      </c>
      <c r="H71" s="60">
        <v>87.912087912087898</v>
      </c>
      <c r="I71" s="60">
        <v>10.9890109890107</v>
      </c>
      <c r="J71" s="60">
        <v>7.3260073260073</v>
      </c>
      <c r="K71" s="60">
        <v>0</v>
      </c>
      <c r="L71" s="60">
        <v>0</v>
      </c>
      <c r="M71" s="60">
        <v>0</v>
      </c>
      <c r="N71" s="60"/>
      <c r="O71" s="60"/>
      <c r="P71" s="60"/>
      <c r="Q71" s="60"/>
      <c r="S71" s="60"/>
      <c r="V71" s="60"/>
    </row>
    <row r="72" spans="2:22" x14ac:dyDescent="0.3">
      <c r="B72" s="54" t="s">
        <v>594</v>
      </c>
      <c r="C72" s="28" t="s">
        <v>600</v>
      </c>
      <c r="D72" s="61" t="s">
        <v>195</v>
      </c>
      <c r="E72" s="36">
        <v>35.72</v>
      </c>
      <c r="F72" s="72">
        <v>245</v>
      </c>
      <c r="G72" s="54">
        <v>141</v>
      </c>
      <c r="H72" s="54">
        <v>81</v>
      </c>
      <c r="I72" s="54">
        <v>7.61</v>
      </c>
      <c r="J72" s="54">
        <v>15.95</v>
      </c>
      <c r="K72" s="54">
        <v>0.86</v>
      </c>
      <c r="L72" s="54">
        <v>0.74</v>
      </c>
      <c r="M72" s="54">
        <v>2.94</v>
      </c>
      <c r="N72" s="54"/>
      <c r="O72" s="54"/>
      <c r="P72" s="54"/>
      <c r="Q72" s="54"/>
      <c r="S72" s="54"/>
      <c r="V72" s="54"/>
    </row>
    <row r="73" spans="2:22" x14ac:dyDescent="0.3">
      <c r="B73" s="54" t="s">
        <v>594</v>
      </c>
      <c r="C73" s="28" t="s">
        <v>600</v>
      </c>
      <c r="D73" s="61" t="s">
        <v>205</v>
      </c>
      <c r="E73" s="36">
        <v>34.380000000000003</v>
      </c>
      <c r="F73" s="72">
        <v>292.60000000000002</v>
      </c>
      <c r="G73" s="54">
        <v>125.2</v>
      </c>
      <c r="H73" s="54">
        <v>48.9</v>
      </c>
      <c r="I73" s="54">
        <v>11.08</v>
      </c>
      <c r="J73" s="54">
        <v>8.84</v>
      </c>
      <c r="K73" s="54">
        <v>0.25</v>
      </c>
      <c r="L73" s="54">
        <v>0.18</v>
      </c>
      <c r="M73" s="54">
        <v>0.5</v>
      </c>
      <c r="N73" s="54"/>
      <c r="O73" s="54"/>
      <c r="P73" s="54"/>
      <c r="Q73" s="54"/>
      <c r="S73" s="54"/>
      <c r="V73" s="54"/>
    </row>
    <row r="74" spans="2:22" x14ac:dyDescent="0.3">
      <c r="B74" s="54" t="s">
        <v>594</v>
      </c>
      <c r="C74" s="28" t="s">
        <v>600</v>
      </c>
      <c r="D74" s="61" t="s">
        <v>198</v>
      </c>
      <c r="E74" s="36">
        <v>37.520000000000003</v>
      </c>
      <c r="F74" s="72">
        <v>820</v>
      </c>
      <c r="G74" s="54">
        <v>437</v>
      </c>
      <c r="H74" s="54">
        <v>567</v>
      </c>
      <c r="I74" s="54">
        <v>34.869999999999997</v>
      </c>
      <c r="J74" s="54">
        <v>153.55000000000001</v>
      </c>
      <c r="K74" s="54">
        <v>0</v>
      </c>
      <c r="L74" s="54">
        <v>0</v>
      </c>
      <c r="M74" s="54">
        <v>0</v>
      </c>
      <c r="N74" s="54"/>
      <c r="O74" s="54"/>
      <c r="P74" s="54"/>
      <c r="Q74" s="54"/>
      <c r="S74" s="54"/>
      <c r="V74" s="54"/>
    </row>
    <row r="75" spans="2:22" x14ac:dyDescent="0.3">
      <c r="B75" s="54" t="s">
        <v>594</v>
      </c>
      <c r="C75" s="28" t="s">
        <v>600</v>
      </c>
      <c r="D75" s="61" t="s">
        <v>204</v>
      </c>
      <c r="E75" s="36">
        <v>32.72</v>
      </c>
      <c r="F75" s="72">
        <v>248.6</v>
      </c>
      <c r="G75" s="54">
        <v>134.4</v>
      </c>
      <c r="H75" s="54">
        <v>67.3</v>
      </c>
      <c r="I75" s="54">
        <v>8.15</v>
      </c>
      <c r="J75" s="54">
        <v>17.899999999999999</v>
      </c>
      <c r="K75" s="54">
        <v>0.49</v>
      </c>
      <c r="L75" s="54">
        <v>0.5</v>
      </c>
      <c r="M75" s="54">
        <v>1.23</v>
      </c>
      <c r="N75" s="54"/>
      <c r="O75" s="54"/>
      <c r="P75" s="54"/>
      <c r="Q75" s="54"/>
      <c r="S75" s="54"/>
      <c r="V75" s="54"/>
    </row>
    <row r="76" spans="2:22" x14ac:dyDescent="0.3">
      <c r="B76" s="54" t="s">
        <v>594</v>
      </c>
      <c r="C76" s="28" t="s">
        <v>600</v>
      </c>
      <c r="D76" s="61" t="s">
        <v>196</v>
      </c>
      <c r="E76" s="36">
        <v>31.3</v>
      </c>
      <c r="F76" s="72">
        <v>50.3</v>
      </c>
      <c r="G76" s="54">
        <v>51.2</v>
      </c>
      <c r="H76" s="54">
        <v>35.200000000000003</v>
      </c>
      <c r="I76" s="54">
        <v>7.83</v>
      </c>
      <c r="J76" s="54">
        <v>2.86</v>
      </c>
      <c r="K76" s="54">
        <v>1.24</v>
      </c>
      <c r="L76" s="54">
        <v>0.52</v>
      </c>
      <c r="M76" s="54">
        <v>1.86</v>
      </c>
      <c r="N76" s="54"/>
      <c r="O76" s="54"/>
      <c r="P76" s="54"/>
      <c r="Q76" s="54"/>
      <c r="S76" s="54"/>
      <c r="V76" s="54"/>
    </row>
    <row r="77" spans="2:22" x14ac:dyDescent="0.3">
      <c r="B77" s="54" t="s">
        <v>591</v>
      </c>
      <c r="C77" s="28" t="s">
        <v>601</v>
      </c>
      <c r="D77" s="61" t="s">
        <v>293</v>
      </c>
      <c r="E77" s="37">
        <v>28.4</v>
      </c>
      <c r="F77" s="72">
        <v>967</v>
      </c>
      <c r="G77" s="54">
        <v>269</v>
      </c>
      <c r="H77" s="54">
        <v>161</v>
      </c>
      <c r="I77" s="54">
        <v>16.399999999999999</v>
      </c>
      <c r="J77" s="54">
        <v>53.7</v>
      </c>
      <c r="K77" s="54">
        <v>3.15</v>
      </c>
      <c r="L77" s="54">
        <v>1.4</v>
      </c>
      <c r="M77" s="54">
        <v>3.61</v>
      </c>
      <c r="N77" s="54"/>
      <c r="O77" s="54"/>
      <c r="P77" s="54"/>
      <c r="Q77" s="54"/>
      <c r="S77" s="54"/>
      <c r="V77" s="54"/>
    </row>
    <row r="78" spans="2:22" x14ac:dyDescent="0.3">
      <c r="B78" s="54" t="s">
        <v>591</v>
      </c>
      <c r="C78" s="28" t="s">
        <v>601</v>
      </c>
      <c r="D78" s="61" t="s">
        <v>319</v>
      </c>
      <c r="E78" s="37">
        <v>27</v>
      </c>
      <c r="F78" s="72">
        <v>140</v>
      </c>
      <c r="G78" s="54">
        <v>55.8</v>
      </c>
      <c r="H78" s="54">
        <v>29.2</v>
      </c>
      <c r="I78" s="54">
        <v>7.65</v>
      </c>
      <c r="J78" s="54">
        <v>4.42</v>
      </c>
      <c r="K78" s="54">
        <v>1.33</v>
      </c>
      <c r="L78" s="54">
        <v>0.31</v>
      </c>
      <c r="M78" s="54">
        <v>1.42</v>
      </c>
      <c r="N78" s="54"/>
      <c r="O78" s="54"/>
      <c r="P78" s="54"/>
      <c r="Q78" s="54"/>
      <c r="S78" s="54"/>
      <c r="V78" s="54"/>
    </row>
    <row r="79" spans="2:22" x14ac:dyDescent="0.3">
      <c r="B79" s="54" t="s">
        <v>594</v>
      </c>
      <c r="C79" s="28" t="s">
        <v>601</v>
      </c>
      <c r="D79" s="61" t="s">
        <v>193</v>
      </c>
      <c r="E79" s="37">
        <v>30.89</v>
      </c>
      <c r="F79" s="72">
        <v>261</v>
      </c>
      <c r="G79" s="54">
        <v>209</v>
      </c>
      <c r="H79" s="54">
        <v>142</v>
      </c>
      <c r="I79" s="54">
        <v>12.03</v>
      </c>
      <c r="J79" s="54">
        <v>13.03</v>
      </c>
      <c r="K79" s="54">
        <v>2.2599999999999998</v>
      </c>
      <c r="L79" s="54">
        <v>0.13</v>
      </c>
      <c r="M79" s="54">
        <v>3.13</v>
      </c>
      <c r="N79" s="54"/>
      <c r="O79" s="54"/>
      <c r="P79" s="54"/>
      <c r="Q79" s="54"/>
      <c r="S79" s="54"/>
      <c r="V79" s="54"/>
    </row>
    <row r="80" spans="2:22" x14ac:dyDescent="0.3">
      <c r="B80" s="54" t="s">
        <v>591</v>
      </c>
      <c r="C80" s="28" t="s">
        <v>602</v>
      </c>
      <c r="D80" s="61" t="s">
        <v>296</v>
      </c>
      <c r="E80" s="38">
        <v>15.8</v>
      </c>
      <c r="F80" s="72">
        <v>85.8</v>
      </c>
      <c r="G80" s="54">
        <v>27.3</v>
      </c>
      <c r="H80" s="54">
        <v>10.199999999999999</v>
      </c>
      <c r="I80" s="54">
        <v>8.56</v>
      </c>
      <c r="J80" s="54">
        <v>6.01</v>
      </c>
      <c r="K80" s="54">
        <v>1.32</v>
      </c>
      <c r="L80" s="54">
        <v>0</v>
      </c>
      <c r="M80" s="54">
        <v>1.48</v>
      </c>
      <c r="N80" s="54"/>
      <c r="O80" s="54"/>
      <c r="P80" s="54"/>
      <c r="Q80" s="54"/>
      <c r="S80" s="54"/>
      <c r="V80" s="54"/>
    </row>
    <row r="81" spans="2:22" x14ac:dyDescent="0.3">
      <c r="B81" s="54" t="s">
        <v>594</v>
      </c>
      <c r="C81" s="28" t="s">
        <v>602</v>
      </c>
      <c r="D81" s="61" t="s">
        <v>203</v>
      </c>
      <c r="E81" s="38">
        <v>19.32</v>
      </c>
      <c r="F81" s="72">
        <v>111</v>
      </c>
      <c r="G81" s="54">
        <v>60</v>
      </c>
      <c r="H81" s="54">
        <v>13</v>
      </c>
      <c r="I81" s="54">
        <v>6.72</v>
      </c>
      <c r="J81" s="54">
        <v>7.7</v>
      </c>
      <c r="K81" s="54">
        <v>0.49</v>
      </c>
      <c r="L81" s="54">
        <v>0</v>
      </c>
      <c r="M81" s="54">
        <v>0.86</v>
      </c>
      <c r="N81" s="54"/>
      <c r="O81" s="54"/>
      <c r="P81" s="54"/>
      <c r="Q81" s="54"/>
      <c r="S81" s="54"/>
      <c r="V81" s="54"/>
    </row>
    <row r="82" spans="2:22" x14ac:dyDescent="0.3">
      <c r="B82" s="54" t="s">
        <v>594</v>
      </c>
      <c r="C82" s="28" t="s">
        <v>602</v>
      </c>
      <c r="D82" s="61" t="s">
        <v>200</v>
      </c>
      <c r="E82" s="38">
        <v>11.55</v>
      </c>
      <c r="F82" s="72">
        <v>236</v>
      </c>
      <c r="G82" s="54">
        <v>848</v>
      </c>
      <c r="H82" s="54">
        <v>357</v>
      </c>
      <c r="I82" s="54">
        <v>33.69</v>
      </c>
      <c r="J82" s="54">
        <v>167.5</v>
      </c>
      <c r="K82" s="54">
        <v>449.35</v>
      </c>
      <c r="L82" s="54">
        <v>25.15</v>
      </c>
      <c r="M82" s="54">
        <v>83.87</v>
      </c>
      <c r="N82" s="54"/>
      <c r="O82" s="54"/>
      <c r="P82" s="54"/>
      <c r="Q82" s="54"/>
      <c r="S82" s="54"/>
      <c r="V82" s="54"/>
    </row>
    <row r="83" spans="2:22" x14ac:dyDescent="0.3">
      <c r="B83" s="54" t="s">
        <v>594</v>
      </c>
      <c r="C83" s="28" t="s">
        <v>602</v>
      </c>
      <c r="D83" s="61" t="s">
        <v>201</v>
      </c>
      <c r="E83" s="38">
        <v>11.47</v>
      </c>
      <c r="F83" s="72">
        <v>140</v>
      </c>
      <c r="G83" s="54">
        <v>422</v>
      </c>
      <c r="H83" s="54">
        <v>224</v>
      </c>
      <c r="I83" s="54">
        <v>19.739999999999998</v>
      </c>
      <c r="J83" s="54">
        <v>92.54</v>
      </c>
      <c r="K83" s="54">
        <v>151.13999999999999</v>
      </c>
      <c r="L83" s="54">
        <v>9.5</v>
      </c>
      <c r="M83" s="54">
        <v>28.62</v>
      </c>
      <c r="N83" s="54"/>
      <c r="O83" s="54"/>
      <c r="P83" s="54"/>
      <c r="Q83" s="54"/>
      <c r="S83" s="54"/>
      <c r="V83" s="54"/>
    </row>
    <row r="84" spans="2:22" x14ac:dyDescent="0.3">
      <c r="B84" s="54" t="s">
        <v>594</v>
      </c>
      <c r="C84" s="28" t="s">
        <v>602</v>
      </c>
      <c r="D84" s="61" t="s">
        <v>202</v>
      </c>
      <c r="E84" s="38">
        <v>8.6300000000000008</v>
      </c>
      <c r="F84" s="72">
        <v>5</v>
      </c>
      <c r="G84" s="54">
        <v>28</v>
      </c>
      <c r="H84" s="54">
        <v>12</v>
      </c>
      <c r="I84" s="54">
        <v>0.71</v>
      </c>
      <c r="J84" s="54">
        <v>6.9</v>
      </c>
      <c r="K84" s="54">
        <v>2.5</v>
      </c>
      <c r="L84" s="54">
        <v>0</v>
      </c>
      <c r="M84" s="54">
        <v>1.55</v>
      </c>
      <c r="N84" s="54"/>
      <c r="O84" s="54"/>
      <c r="P84" s="54"/>
      <c r="Q84" s="54"/>
      <c r="S84" s="54"/>
      <c r="V84" s="54"/>
    </row>
    <row r="85" spans="2:22" x14ac:dyDescent="0.3">
      <c r="B85" s="54"/>
      <c r="C85" s="28"/>
      <c r="D85" s="61"/>
      <c r="E85" s="35"/>
      <c r="F85" s="72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S85" s="54"/>
      <c r="V85" s="54"/>
    </row>
    <row r="86" spans="2:22" x14ac:dyDescent="0.3">
      <c r="B86" s="54"/>
      <c r="C86" s="28"/>
      <c r="D86" s="60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S86" s="54"/>
      <c r="V86" s="54"/>
    </row>
    <row r="87" spans="2:22" x14ac:dyDescent="0.3">
      <c r="B87" s="54"/>
      <c r="C87" s="28"/>
      <c r="D87" s="60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S87" s="54"/>
      <c r="V87" s="54"/>
    </row>
    <row r="89" spans="2:22" x14ac:dyDescent="0.3">
      <c r="F89" s="72"/>
    </row>
    <row r="90" spans="2:22" x14ac:dyDescent="0.3">
      <c r="F90" s="72"/>
    </row>
    <row r="91" spans="2:22" x14ac:dyDescent="0.3">
      <c r="F91" s="72"/>
    </row>
    <row r="92" spans="2:22" x14ac:dyDescent="0.3">
      <c r="B92" s="54" t="s">
        <v>591</v>
      </c>
      <c r="C92" s="28"/>
      <c r="D92" s="61" t="s">
        <v>306</v>
      </c>
      <c r="E92" s="54"/>
      <c r="F92" s="72">
        <v>2497</v>
      </c>
      <c r="G92" s="54">
        <v>9.6300000000000008</v>
      </c>
      <c r="H92" s="54">
        <v>160</v>
      </c>
      <c r="I92" s="54">
        <v>44.9</v>
      </c>
      <c r="J92" s="54">
        <v>74.8</v>
      </c>
      <c r="K92" s="54">
        <v>0</v>
      </c>
      <c r="L92" s="54">
        <v>0</v>
      </c>
      <c r="M92" s="54">
        <v>0</v>
      </c>
      <c r="N92" s="54"/>
      <c r="O92" s="54"/>
      <c r="P92" s="54"/>
      <c r="Q92" s="54"/>
      <c r="S92" s="54"/>
      <c r="V92" s="54"/>
    </row>
    <row r="93" spans="2:22" x14ac:dyDescent="0.3">
      <c r="B93" s="54" t="s">
        <v>591</v>
      </c>
      <c r="C93" s="28"/>
      <c r="D93" s="61" t="s">
        <v>308</v>
      </c>
      <c r="E93" s="54"/>
      <c r="F93" s="72">
        <v>933</v>
      </c>
      <c r="G93" s="54">
        <v>359</v>
      </c>
      <c r="H93" s="54">
        <v>316</v>
      </c>
      <c r="I93" s="54">
        <v>40.1</v>
      </c>
      <c r="J93" s="54">
        <v>84.4</v>
      </c>
      <c r="K93" s="54">
        <v>0</v>
      </c>
      <c r="L93" s="54">
        <v>0</v>
      </c>
      <c r="M93" s="54">
        <v>0</v>
      </c>
      <c r="N93" s="54"/>
      <c r="O93" s="54"/>
      <c r="P93" s="54"/>
      <c r="Q93" s="54"/>
      <c r="S93" s="54"/>
      <c r="V93" s="54"/>
    </row>
    <row r="94" spans="2:22" x14ac:dyDescent="0.3">
      <c r="B94" s="54" t="s">
        <v>591</v>
      </c>
      <c r="C94" s="28"/>
      <c r="D94" s="61" t="s">
        <v>310</v>
      </c>
      <c r="E94" s="54"/>
      <c r="F94" s="72">
        <v>182</v>
      </c>
      <c r="G94" s="54">
        <v>498</v>
      </c>
      <c r="H94" s="54">
        <v>221</v>
      </c>
      <c r="I94" s="54">
        <v>21.5</v>
      </c>
      <c r="J94" s="54">
        <v>76.400000000000006</v>
      </c>
      <c r="K94" s="54">
        <v>64.400000000000006</v>
      </c>
      <c r="L94" s="54">
        <v>7.56</v>
      </c>
      <c r="M94" s="54">
        <v>25.5</v>
      </c>
      <c r="N94" s="54"/>
      <c r="O94" s="54"/>
      <c r="P94" s="54"/>
      <c r="Q94" s="54"/>
      <c r="S94" s="54"/>
      <c r="V94" s="54"/>
    </row>
    <row r="95" spans="2:22" x14ac:dyDescent="0.3">
      <c r="B95" s="54" t="s">
        <v>591</v>
      </c>
      <c r="C95" s="28"/>
      <c r="D95" s="61" t="s">
        <v>312</v>
      </c>
      <c r="E95" s="54"/>
      <c r="F95" s="72">
        <v>281</v>
      </c>
      <c r="G95" s="54">
        <v>811</v>
      </c>
      <c r="H95" s="54">
        <v>160</v>
      </c>
      <c r="I95" s="54">
        <v>30</v>
      </c>
      <c r="J95" s="54">
        <v>109</v>
      </c>
      <c r="K95" s="54">
        <v>211</v>
      </c>
      <c r="L95" s="54">
        <v>30</v>
      </c>
      <c r="M95" s="54">
        <v>77.5</v>
      </c>
      <c r="N95" s="54"/>
      <c r="O95" s="54"/>
      <c r="P95" s="54"/>
      <c r="Q95" s="54"/>
      <c r="S95" s="54"/>
      <c r="V95" s="54"/>
    </row>
    <row r="96" spans="2:22" x14ac:dyDescent="0.3">
      <c r="B96" s="54" t="s">
        <v>591</v>
      </c>
      <c r="C96" s="28"/>
      <c r="D96" s="61" t="s">
        <v>314</v>
      </c>
      <c r="E96" s="54"/>
      <c r="F96" s="72">
        <v>342</v>
      </c>
      <c r="G96" s="54">
        <v>445</v>
      </c>
      <c r="H96" s="54">
        <v>104</v>
      </c>
      <c r="I96" s="54">
        <v>12.3</v>
      </c>
      <c r="J96" s="54">
        <v>48.4</v>
      </c>
      <c r="K96" s="54">
        <v>59.9</v>
      </c>
      <c r="L96" s="54">
        <v>12.2</v>
      </c>
      <c r="M96" s="54">
        <v>11.8</v>
      </c>
      <c r="N96" s="54"/>
      <c r="O96" s="54"/>
      <c r="P96" s="54"/>
      <c r="Q96" s="54"/>
      <c r="S96" s="54"/>
      <c r="V96" s="54"/>
    </row>
    <row r="97" spans="2:22" x14ac:dyDescent="0.3">
      <c r="B97" s="54" t="s">
        <v>591</v>
      </c>
      <c r="C97" s="28"/>
      <c r="D97" s="61" t="s">
        <v>316</v>
      </c>
      <c r="E97" s="54"/>
      <c r="F97" s="72">
        <v>0.39</v>
      </c>
      <c r="G97" s="54">
        <v>0.22</v>
      </c>
      <c r="H97" s="54">
        <v>0.65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/>
      <c r="O97" s="54"/>
      <c r="P97" s="54"/>
      <c r="Q97" s="54"/>
      <c r="S97" s="54"/>
      <c r="V97" s="54"/>
    </row>
    <row r="98" spans="2:22" x14ac:dyDescent="0.3">
      <c r="B98" s="54" t="s">
        <v>597</v>
      </c>
      <c r="C98" s="28"/>
      <c r="D98" s="61" t="s">
        <v>168</v>
      </c>
      <c r="E98" s="54"/>
      <c r="F98" s="72">
        <v>2800</v>
      </c>
      <c r="G98" s="54">
        <v>16</v>
      </c>
      <c r="H98" s="54">
        <v>14</v>
      </c>
      <c r="I98" s="54">
        <v>1.6E-2</v>
      </c>
      <c r="J98" s="54">
        <v>4.4000000000000004</v>
      </c>
      <c r="K98" s="54">
        <v>0.3</v>
      </c>
      <c r="L98" s="54">
        <v>0.45</v>
      </c>
      <c r="M98" s="54">
        <v>0.44</v>
      </c>
      <c r="N98" s="54"/>
      <c r="O98" s="54"/>
      <c r="P98" s="54"/>
      <c r="Q98" s="54"/>
      <c r="S98" s="54"/>
      <c r="V98" s="54"/>
    </row>
    <row r="99" spans="2:22" x14ac:dyDescent="0.3">
      <c r="B99" s="54" t="s">
        <v>597</v>
      </c>
      <c r="C99" s="28"/>
      <c r="D99" s="61" t="s">
        <v>169</v>
      </c>
      <c r="E99" s="54"/>
      <c r="F99" s="72">
        <v>490</v>
      </c>
      <c r="G99" s="54">
        <v>8.6999999999999993</v>
      </c>
      <c r="H99" s="54">
        <v>7.7</v>
      </c>
      <c r="I99" s="54">
        <v>1.6E-2</v>
      </c>
      <c r="J99" s="54">
        <v>1.8</v>
      </c>
      <c r="K99" s="54">
        <v>0.3</v>
      </c>
      <c r="L99" s="54">
        <v>0.45</v>
      </c>
      <c r="M99" s="54">
        <v>0.44</v>
      </c>
      <c r="N99" s="54"/>
      <c r="O99" s="54"/>
      <c r="P99" s="54"/>
      <c r="Q99" s="54"/>
      <c r="S99" s="54"/>
      <c r="V99" s="54"/>
    </row>
    <row r="100" spans="2:22" x14ac:dyDescent="0.3">
      <c r="B100" s="54" t="s">
        <v>597</v>
      </c>
      <c r="C100" s="28"/>
      <c r="D100" s="61" t="s">
        <v>170</v>
      </c>
      <c r="E100" s="54"/>
      <c r="F100" s="72">
        <v>750</v>
      </c>
      <c r="G100" s="54">
        <v>0.82</v>
      </c>
      <c r="H100" s="54">
        <v>22</v>
      </c>
      <c r="I100" s="54">
        <v>1.6E-2</v>
      </c>
      <c r="J100" s="54">
        <v>0.02</v>
      </c>
      <c r="K100" s="54">
        <v>0.3</v>
      </c>
      <c r="L100" s="54">
        <v>0.45</v>
      </c>
      <c r="M100" s="54">
        <v>0.44</v>
      </c>
      <c r="N100" s="54"/>
      <c r="O100" s="54"/>
      <c r="P100" s="54"/>
      <c r="Q100" s="54"/>
      <c r="S100" s="54"/>
      <c r="V100" s="54"/>
    </row>
    <row r="101" spans="2:22" x14ac:dyDescent="0.3">
      <c r="B101" s="54" t="s">
        <v>597</v>
      </c>
      <c r="C101" s="28"/>
      <c r="D101" s="61" t="s">
        <v>166</v>
      </c>
      <c r="E101" s="54"/>
      <c r="F101" s="72">
        <v>250</v>
      </c>
      <c r="G101" s="54">
        <v>0.91</v>
      </c>
      <c r="H101" s="54">
        <v>8</v>
      </c>
      <c r="I101" s="54">
        <v>1.6E-2</v>
      </c>
      <c r="J101" s="54">
        <v>0.61</v>
      </c>
      <c r="K101" s="54">
        <v>0.3</v>
      </c>
      <c r="L101" s="54">
        <v>0.45</v>
      </c>
      <c r="M101" s="54">
        <v>0.44</v>
      </c>
      <c r="N101" s="54"/>
      <c r="O101" s="54"/>
      <c r="P101" s="54"/>
      <c r="Q101" s="54"/>
      <c r="S101" s="54"/>
      <c r="V101" s="54"/>
    </row>
    <row r="102" spans="2:22" x14ac:dyDescent="0.3">
      <c r="B102" s="54" t="s">
        <v>597</v>
      </c>
      <c r="C102" s="28"/>
      <c r="D102" s="61" t="s">
        <v>171</v>
      </c>
      <c r="E102" s="54"/>
      <c r="F102" s="72">
        <v>120</v>
      </c>
      <c r="G102" s="54">
        <v>91</v>
      </c>
      <c r="H102" s="54">
        <v>44</v>
      </c>
      <c r="I102" s="54">
        <v>1.6E-2</v>
      </c>
      <c r="J102" s="54">
        <v>32</v>
      </c>
      <c r="K102" s="54">
        <v>0.3</v>
      </c>
      <c r="L102" s="54">
        <v>0.45</v>
      </c>
      <c r="M102" s="54">
        <v>0.44</v>
      </c>
      <c r="N102" s="54"/>
      <c r="O102" s="54"/>
      <c r="P102" s="54"/>
      <c r="Q102" s="54"/>
      <c r="S102" s="54"/>
      <c r="V102" s="54"/>
    </row>
    <row r="103" spans="2:22" x14ac:dyDescent="0.3">
      <c r="B103" s="54" t="s">
        <v>597</v>
      </c>
      <c r="C103" s="28"/>
      <c r="D103" s="61" t="s">
        <v>172</v>
      </c>
      <c r="E103" s="54"/>
      <c r="F103" s="72">
        <v>2600</v>
      </c>
      <c r="G103" s="54">
        <v>1700</v>
      </c>
      <c r="H103" s="54">
        <v>610</v>
      </c>
      <c r="I103" s="54">
        <v>1.6E-2</v>
      </c>
      <c r="J103" s="54">
        <v>430</v>
      </c>
      <c r="K103" s="54">
        <v>0.71</v>
      </c>
      <c r="L103" s="54">
        <v>0.45</v>
      </c>
      <c r="M103" s="54">
        <v>0.44</v>
      </c>
      <c r="N103" s="54"/>
      <c r="O103" s="54"/>
      <c r="P103" s="54"/>
      <c r="Q103" s="54"/>
      <c r="S103" s="54"/>
      <c r="V103" s="54"/>
    </row>
    <row r="104" spans="2:22" x14ac:dyDescent="0.3">
      <c r="B104" s="54" t="s">
        <v>597</v>
      </c>
      <c r="C104" s="28"/>
      <c r="D104" s="61" t="s">
        <v>167</v>
      </c>
      <c r="E104" s="54"/>
      <c r="F104" s="72">
        <v>4300</v>
      </c>
      <c r="G104" s="54">
        <v>2300</v>
      </c>
      <c r="H104" s="54">
        <v>730</v>
      </c>
      <c r="I104" s="54">
        <v>1.6E-2</v>
      </c>
      <c r="J104" s="54">
        <v>570</v>
      </c>
      <c r="K104" s="54">
        <v>0.3</v>
      </c>
      <c r="L104" s="54">
        <v>0.45</v>
      </c>
      <c r="M104" s="54">
        <v>0.44</v>
      </c>
      <c r="N104" s="54"/>
      <c r="O104" s="54"/>
      <c r="P104" s="54"/>
      <c r="Q104" s="54"/>
      <c r="S104" s="54"/>
      <c r="V104" s="54"/>
    </row>
    <row r="105" spans="2:22" x14ac:dyDescent="0.3">
      <c r="B105" s="54" t="s">
        <v>597</v>
      </c>
      <c r="C105" s="28"/>
      <c r="D105" s="61" t="s">
        <v>173</v>
      </c>
      <c r="E105" s="54"/>
      <c r="F105" s="72">
        <v>1900</v>
      </c>
      <c r="G105" s="54">
        <v>1100</v>
      </c>
      <c r="H105" s="54">
        <v>450</v>
      </c>
      <c r="I105" s="54">
        <v>1.6E-2</v>
      </c>
      <c r="J105" s="54">
        <v>270</v>
      </c>
      <c r="K105" s="54">
        <v>0.3</v>
      </c>
      <c r="L105" s="54">
        <v>0.45</v>
      </c>
      <c r="M105" s="54">
        <v>0.44</v>
      </c>
      <c r="N105" s="54"/>
      <c r="O105" s="54"/>
      <c r="P105" s="54"/>
      <c r="Q105" s="54"/>
      <c r="S105" s="54"/>
      <c r="V105" s="54"/>
    </row>
    <row r="106" spans="2:22" x14ac:dyDescent="0.3">
      <c r="B106" s="54" t="s">
        <v>597</v>
      </c>
      <c r="C106" s="28"/>
      <c r="D106" s="61" t="s">
        <v>174</v>
      </c>
      <c r="E106" s="54"/>
      <c r="F106" s="72">
        <v>1100</v>
      </c>
      <c r="G106" s="54">
        <v>2500</v>
      </c>
      <c r="H106" s="54">
        <v>280</v>
      </c>
      <c r="I106" s="54">
        <v>1.6E-2</v>
      </c>
      <c r="J106" s="54">
        <v>180</v>
      </c>
      <c r="K106" s="54">
        <v>16</v>
      </c>
      <c r="L106" s="54">
        <v>1.1000000000000001</v>
      </c>
      <c r="M106" s="54">
        <v>3</v>
      </c>
      <c r="N106" s="54"/>
      <c r="O106" s="54"/>
      <c r="P106" s="54"/>
      <c r="Q106" s="54"/>
      <c r="S106" s="54"/>
      <c r="V106" s="54"/>
    </row>
    <row r="107" spans="2:22" x14ac:dyDescent="0.3">
      <c r="B107" s="54" t="s">
        <v>597</v>
      </c>
      <c r="C107" s="28"/>
      <c r="D107" s="61" t="s">
        <v>175</v>
      </c>
      <c r="E107" s="54"/>
      <c r="F107" s="72">
        <v>0.43</v>
      </c>
      <c r="G107" s="54">
        <v>1.4</v>
      </c>
      <c r="H107" s="54">
        <v>2.9</v>
      </c>
      <c r="I107" s="54">
        <v>1.6E-2</v>
      </c>
      <c r="J107" s="54">
        <v>1.9</v>
      </c>
      <c r="K107" s="54">
        <v>0.3</v>
      </c>
      <c r="L107" s="54">
        <v>0.45</v>
      </c>
      <c r="M107" s="54">
        <v>0.44</v>
      </c>
      <c r="N107" s="54"/>
      <c r="O107" s="54"/>
      <c r="P107" s="54"/>
      <c r="Q107" s="54"/>
      <c r="S107" s="54"/>
      <c r="V107" s="54"/>
    </row>
    <row r="108" spans="2:22" x14ac:dyDescent="0.3">
      <c r="B108" s="54" t="s">
        <v>597</v>
      </c>
      <c r="C108" s="28"/>
      <c r="D108" s="61" t="s">
        <v>176</v>
      </c>
      <c r="E108" s="54"/>
      <c r="F108" s="72">
        <v>0.43</v>
      </c>
      <c r="G108" s="54">
        <v>2.1000000000000001E-2</v>
      </c>
      <c r="H108" s="54">
        <v>0.02</v>
      </c>
      <c r="I108" s="54">
        <v>1.6E-2</v>
      </c>
      <c r="J108" s="54">
        <v>0.02</v>
      </c>
      <c r="K108" s="54">
        <v>0.3</v>
      </c>
      <c r="L108" s="54">
        <v>0.45</v>
      </c>
      <c r="M108" s="54">
        <v>0.44</v>
      </c>
      <c r="N108" s="54"/>
      <c r="O108" s="54"/>
      <c r="P108" s="54"/>
      <c r="Q108" s="54"/>
      <c r="S108" s="54"/>
      <c r="V108" s="54"/>
    </row>
    <row r="109" spans="2:22" x14ac:dyDescent="0.3">
      <c r="N109" s="54"/>
      <c r="O109" s="54"/>
      <c r="P109" s="54"/>
      <c r="Q109" s="54"/>
      <c r="S109" s="54"/>
      <c r="V109" s="54"/>
    </row>
    <row r="110" spans="2:22" x14ac:dyDescent="0.3">
      <c r="F110" s="72"/>
    </row>
    <row r="111" spans="2:22" x14ac:dyDescent="0.3">
      <c r="F111" s="72"/>
    </row>
    <row r="112" spans="2:22" x14ac:dyDescent="0.3">
      <c r="F112" s="72"/>
    </row>
    <row r="122" spans="2:22" x14ac:dyDescent="0.3">
      <c r="B122" s="54"/>
      <c r="C122" s="28"/>
      <c r="D122" s="60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</row>
    <row r="123" spans="2:22" x14ac:dyDescent="0.3">
      <c r="B123" s="54"/>
      <c r="C123" s="28"/>
      <c r="D123" s="60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</row>
    <row r="124" spans="2:22" x14ac:dyDescent="0.3">
      <c r="B124" s="54"/>
      <c r="C124" s="28"/>
      <c r="D124" s="60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</row>
    <row r="125" spans="2:22" x14ac:dyDescent="0.3">
      <c r="B125" s="54"/>
      <c r="C125" s="28"/>
      <c r="D125" s="60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</row>
    <row r="131" spans="2:3" x14ac:dyDescent="0.3">
      <c r="C131" t="s">
        <v>770</v>
      </c>
    </row>
    <row r="132" spans="2:3" ht="15.5" x14ac:dyDescent="0.35">
      <c r="C132" s="73" t="s">
        <v>767</v>
      </c>
    </row>
    <row r="133" spans="2:3" x14ac:dyDescent="0.3">
      <c r="B133" s="54" t="s">
        <v>604</v>
      </c>
      <c r="C133" s="74">
        <v>1</v>
      </c>
    </row>
    <row r="134" spans="2:3" x14ac:dyDescent="0.3">
      <c r="B134" s="54" t="s">
        <v>605</v>
      </c>
      <c r="C134" s="74">
        <v>0.99</v>
      </c>
    </row>
    <row r="135" spans="2:3" x14ac:dyDescent="0.3">
      <c r="B135" s="54" t="s">
        <v>606</v>
      </c>
      <c r="C135" s="74">
        <v>0.72</v>
      </c>
    </row>
    <row r="136" spans="2:3" x14ac:dyDescent="0.3">
      <c r="B136" s="54" t="s">
        <v>607</v>
      </c>
      <c r="C136" s="74">
        <v>0.39</v>
      </c>
    </row>
    <row r="137" spans="2:3" x14ac:dyDescent="0.3">
      <c r="B137" s="54" t="s">
        <v>608</v>
      </c>
      <c r="C137" s="74">
        <v>0.03</v>
      </c>
    </row>
    <row r="138" spans="2:3" x14ac:dyDescent="0.3">
      <c r="B138" s="54" t="s">
        <v>616</v>
      </c>
      <c r="C138" s="74">
        <v>0.28999999999999998</v>
      </c>
    </row>
    <row r="139" spans="2:3" x14ac:dyDescent="0.3">
      <c r="B139" s="54" t="s">
        <v>617</v>
      </c>
      <c r="C139" s="74">
        <v>0.09</v>
      </c>
    </row>
    <row r="140" spans="2:3" x14ac:dyDescent="0.3">
      <c r="B140" s="54" t="s">
        <v>618</v>
      </c>
      <c r="C140" s="74">
        <v>0.03</v>
      </c>
    </row>
    <row r="141" spans="2:3" x14ac:dyDescent="0.3">
      <c r="B141" s="72" t="s">
        <v>583</v>
      </c>
      <c r="C141" s="75">
        <v>1</v>
      </c>
    </row>
    <row r="142" spans="2:3" x14ac:dyDescent="0.3">
      <c r="B142" s="54" t="s">
        <v>584</v>
      </c>
      <c r="C142" s="75">
        <v>0.16</v>
      </c>
    </row>
    <row r="143" spans="2:3" x14ac:dyDescent="0.3">
      <c r="B143" s="54" t="s">
        <v>623</v>
      </c>
      <c r="C143" s="75">
        <v>0.67</v>
      </c>
    </row>
    <row r="144" spans="2:3" x14ac:dyDescent="0.3">
      <c r="B144" s="54" t="s">
        <v>619</v>
      </c>
      <c r="C144" s="75">
        <v>0.86</v>
      </c>
    </row>
    <row r="145" spans="2:3" x14ac:dyDescent="0.3">
      <c r="B145" s="54" t="s">
        <v>620</v>
      </c>
      <c r="C145" s="75">
        <v>0.71</v>
      </c>
    </row>
    <row r="146" spans="2:3" x14ac:dyDescent="0.3">
      <c r="B146" s="54" t="s">
        <v>628</v>
      </c>
      <c r="C146" s="75">
        <v>0.11</v>
      </c>
    </row>
    <row r="147" spans="2:3" x14ac:dyDescent="0.3">
      <c r="B147" s="54" t="s">
        <v>630</v>
      </c>
      <c r="C147" s="75">
        <v>0.03</v>
      </c>
    </row>
    <row r="148" spans="2:3" x14ac:dyDescent="0.3">
      <c r="B148" s="54" t="s">
        <v>764</v>
      </c>
      <c r="C148" s="75">
        <v>0.01</v>
      </c>
    </row>
    <row r="149" spans="2:3" x14ac:dyDescent="0.3">
      <c r="C149" s="76"/>
    </row>
    <row r="150" spans="2:3" x14ac:dyDescent="0.3">
      <c r="C150" s="1"/>
    </row>
    <row r="151" spans="2:3" x14ac:dyDescent="0.3">
      <c r="C151" s="54"/>
    </row>
    <row r="152" spans="2:3" x14ac:dyDescent="0.3">
      <c r="C152" s="54"/>
    </row>
    <row r="153" spans="2:3" x14ac:dyDescent="0.3">
      <c r="C153" s="54"/>
    </row>
    <row r="154" spans="2:3" x14ac:dyDescent="0.3">
      <c r="C154" s="54"/>
    </row>
    <row r="155" spans="2:3" x14ac:dyDescent="0.3">
      <c r="C155" s="54"/>
    </row>
    <row r="156" spans="2:3" x14ac:dyDescent="0.3">
      <c r="C156" s="54"/>
    </row>
    <row r="157" spans="2:3" x14ac:dyDescent="0.3">
      <c r="C157" s="54"/>
    </row>
    <row r="158" spans="2:3" x14ac:dyDescent="0.3">
      <c r="C158" s="54"/>
    </row>
    <row r="159" spans="2:3" x14ac:dyDescent="0.3">
      <c r="C159" s="54"/>
    </row>
    <row r="160" spans="2:3" x14ac:dyDescent="0.3">
      <c r="C160" s="54"/>
    </row>
    <row r="161" spans="3:3" x14ac:dyDescent="0.3">
      <c r="C161" s="54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399B-7967-4B1E-8950-DC69F2AD9F69}">
  <dimension ref="A1:R115"/>
  <sheetViews>
    <sheetView topLeftCell="A81" workbookViewId="0">
      <selection activeCell="B1" sqref="B1"/>
    </sheetView>
  </sheetViews>
  <sheetFormatPr defaultColWidth="12.4140625" defaultRowHeight="14" x14ac:dyDescent="0.3"/>
  <cols>
    <col min="16" max="18" width="12.4140625" style="1"/>
  </cols>
  <sheetData>
    <row r="1" spans="1:18" ht="108.5" customHeight="1" x14ac:dyDescent="0.3">
      <c r="A1" s="11"/>
      <c r="B1" s="41" t="s">
        <v>345</v>
      </c>
      <c r="C1" s="11"/>
      <c r="D1" s="11"/>
      <c r="E1" s="11"/>
      <c r="F1" s="11"/>
      <c r="G1" s="11"/>
      <c r="H1" s="11"/>
      <c r="I1" s="11"/>
      <c r="J1" s="11"/>
      <c r="L1" t="s">
        <v>359</v>
      </c>
      <c r="N1" t="s">
        <v>360</v>
      </c>
    </row>
    <row r="2" spans="1:18" ht="52.5" customHeight="1" x14ac:dyDescent="0.3">
      <c r="A2" s="41" t="s">
        <v>346</v>
      </c>
      <c r="B2" s="11" t="s">
        <v>347</v>
      </c>
      <c r="C2" s="11" t="s">
        <v>348</v>
      </c>
      <c r="D2" s="11" t="s">
        <v>349</v>
      </c>
      <c r="E2" s="11" t="s">
        <v>350</v>
      </c>
      <c r="F2" s="11" t="s">
        <v>351</v>
      </c>
      <c r="G2" s="11" t="s">
        <v>352</v>
      </c>
      <c r="H2" s="11" t="s">
        <v>353</v>
      </c>
      <c r="I2" s="11" t="s">
        <v>354</v>
      </c>
      <c r="J2" s="11" t="s">
        <v>355</v>
      </c>
      <c r="L2" s="11" t="s">
        <v>358</v>
      </c>
      <c r="M2" s="11" t="s">
        <v>357</v>
      </c>
      <c r="N2" s="11" t="s">
        <v>356</v>
      </c>
      <c r="O2" s="11" t="s">
        <v>6</v>
      </c>
      <c r="P2" s="44" t="s">
        <v>358</v>
      </c>
      <c r="Q2" s="44" t="s">
        <v>357</v>
      </c>
      <c r="R2" s="44" t="s">
        <v>356</v>
      </c>
    </row>
    <row r="3" spans="1:18" x14ac:dyDescent="0.3">
      <c r="A3" s="42">
        <v>42019</v>
      </c>
      <c r="B3" s="11">
        <v>489</v>
      </c>
      <c r="C3" s="43">
        <v>283</v>
      </c>
      <c r="D3" s="11">
        <v>599</v>
      </c>
      <c r="E3" s="43">
        <v>1092</v>
      </c>
      <c r="F3" s="43">
        <v>1712</v>
      </c>
      <c r="G3" s="43">
        <v>2404</v>
      </c>
      <c r="H3" s="43">
        <v>1097</v>
      </c>
      <c r="I3" s="43">
        <v>524</v>
      </c>
      <c r="J3" s="43">
        <v>569</v>
      </c>
      <c r="K3">
        <f>SUM(B3:J3)</f>
        <v>8769</v>
      </c>
      <c r="L3">
        <f>B3+C3*(22.3-20)/5</f>
        <v>619.18000000000006</v>
      </c>
      <c r="M3">
        <f>C3*(25-22.3)/5+D3+E3*(31.1-30)/5</f>
        <v>992.06000000000029</v>
      </c>
      <c r="N3">
        <f>E3*(31.1-30)/5+F3+G3+H3+I3+J3</f>
        <v>6546.24</v>
      </c>
      <c r="P3" s="1">
        <f>L3/K3</f>
        <v>7.0610103774660746E-2</v>
      </c>
      <c r="Q3" s="1">
        <f>M3/K3</f>
        <v>0.11313262629718329</v>
      </c>
      <c r="R3" s="1">
        <f>N3/K3</f>
        <v>0.74652069791310294</v>
      </c>
    </row>
    <row r="4" spans="1:18" x14ac:dyDescent="0.3">
      <c r="A4" s="42">
        <v>42050</v>
      </c>
      <c r="B4" s="11">
        <v>481</v>
      </c>
      <c r="C4" s="43">
        <v>308</v>
      </c>
      <c r="D4" s="11">
        <v>569</v>
      </c>
      <c r="E4" s="43">
        <v>1151</v>
      </c>
      <c r="F4" s="43">
        <v>1778</v>
      </c>
      <c r="G4" s="43">
        <v>2400</v>
      </c>
      <c r="H4" s="43">
        <v>1138</v>
      </c>
      <c r="I4" s="43">
        <v>476</v>
      </c>
      <c r="J4" s="43">
        <v>594</v>
      </c>
      <c r="K4" s="31">
        <f t="shared" ref="K4:K67" si="0">SUM(B4:J4)</f>
        <v>8895</v>
      </c>
      <c r="L4" s="31">
        <f t="shared" ref="L4:L67" si="1">B4+C4*(22.3-20)/5</f>
        <v>622.68000000000006</v>
      </c>
      <c r="M4" s="31">
        <f t="shared" ref="M4:M67" si="2">C4*(25-22.3)/5+D4+E4*(31.1-30)/5</f>
        <v>988.5400000000003</v>
      </c>
      <c r="N4" s="31">
        <f t="shared" ref="N4:N67" si="3">E4*(31.1-30)/5+F4+G4+H4+I4+J4</f>
        <v>6639.22</v>
      </c>
      <c r="P4" s="1">
        <f t="shared" ref="P4:P67" si="4">L4/K4</f>
        <v>7.0003372681281623E-2</v>
      </c>
      <c r="Q4" s="1">
        <f t="shared" ref="Q4:Q67" si="5">M4/K4</f>
        <v>0.11113434513771785</v>
      </c>
      <c r="R4" s="1">
        <f t="shared" ref="R4:R67" si="6">N4/K4</f>
        <v>0.74639910061832493</v>
      </c>
    </row>
    <row r="5" spans="1:18" x14ac:dyDescent="0.3">
      <c r="A5" s="42">
        <v>42078</v>
      </c>
      <c r="B5" s="11">
        <v>460</v>
      </c>
      <c r="C5" s="43">
        <v>259</v>
      </c>
      <c r="D5" s="11">
        <v>584</v>
      </c>
      <c r="E5" s="43">
        <v>1189</v>
      </c>
      <c r="F5" s="43">
        <v>1736</v>
      </c>
      <c r="G5" s="43">
        <v>2590</v>
      </c>
      <c r="H5" s="43">
        <v>1096</v>
      </c>
      <c r="I5" s="43">
        <v>453</v>
      </c>
      <c r="J5" s="43">
        <v>599</v>
      </c>
      <c r="K5" s="31">
        <f t="shared" si="0"/>
        <v>8966</v>
      </c>
      <c r="L5" s="31">
        <f t="shared" si="1"/>
        <v>579.14</v>
      </c>
      <c r="M5" s="31">
        <f t="shared" si="2"/>
        <v>985.44000000000028</v>
      </c>
      <c r="N5" s="31">
        <f t="shared" si="3"/>
        <v>6735.58</v>
      </c>
      <c r="P5" s="1">
        <f t="shared" si="4"/>
        <v>6.4592906535801922E-2</v>
      </c>
      <c r="Q5" s="1">
        <f t="shared" si="5"/>
        <v>0.10990854338612539</v>
      </c>
      <c r="R5" s="1">
        <f t="shared" si="6"/>
        <v>0.75123577961186705</v>
      </c>
    </row>
    <row r="6" spans="1:18" x14ac:dyDescent="0.3">
      <c r="A6" s="42">
        <v>42109</v>
      </c>
      <c r="B6" s="11">
        <v>479</v>
      </c>
      <c r="C6" s="43">
        <v>295</v>
      </c>
      <c r="D6" s="11">
        <v>594</v>
      </c>
      <c r="E6" s="43">
        <v>1224</v>
      </c>
      <c r="F6" s="43">
        <v>1789</v>
      </c>
      <c r="G6" s="43">
        <v>2556</v>
      </c>
      <c r="H6" s="43">
        <v>1058</v>
      </c>
      <c r="I6" s="43">
        <v>442</v>
      </c>
      <c r="J6" s="43">
        <v>601</v>
      </c>
      <c r="K6" s="31">
        <f t="shared" si="0"/>
        <v>9038</v>
      </c>
      <c r="L6" s="31">
        <f t="shared" si="1"/>
        <v>614.70000000000005</v>
      </c>
      <c r="M6" s="31">
        <f t="shared" si="2"/>
        <v>1022.5800000000003</v>
      </c>
      <c r="N6" s="31">
        <f t="shared" si="3"/>
        <v>6715.2800000000007</v>
      </c>
      <c r="P6" s="1">
        <f t="shared" si="4"/>
        <v>6.8012834697942032E-2</v>
      </c>
      <c r="Q6" s="1">
        <f t="shared" si="5"/>
        <v>0.11314228811684005</v>
      </c>
      <c r="R6" s="1">
        <f t="shared" si="6"/>
        <v>0.74300508962159773</v>
      </c>
    </row>
    <row r="7" spans="1:18" x14ac:dyDescent="0.3">
      <c r="A7" s="42">
        <v>42139</v>
      </c>
      <c r="B7" s="11">
        <v>464</v>
      </c>
      <c r="C7" s="43">
        <v>254</v>
      </c>
      <c r="D7" s="11">
        <v>569</v>
      </c>
      <c r="E7" s="43">
        <v>1144</v>
      </c>
      <c r="F7" s="43">
        <v>1839</v>
      </c>
      <c r="G7" s="43">
        <v>2546</v>
      </c>
      <c r="H7" s="43">
        <v>1021</v>
      </c>
      <c r="I7" s="43">
        <v>447</v>
      </c>
      <c r="J7" s="43">
        <v>602</v>
      </c>
      <c r="K7" s="31">
        <f t="shared" si="0"/>
        <v>8886</v>
      </c>
      <c r="L7" s="31">
        <f t="shared" si="1"/>
        <v>580.84</v>
      </c>
      <c r="M7" s="31">
        <f t="shared" si="2"/>
        <v>957.84000000000037</v>
      </c>
      <c r="N7" s="31">
        <f t="shared" si="3"/>
        <v>6706.68</v>
      </c>
      <c r="P7" s="1">
        <f t="shared" si="4"/>
        <v>6.5365743866756698E-2</v>
      </c>
      <c r="Q7" s="1">
        <f t="shared" si="5"/>
        <v>0.10779203241053346</v>
      </c>
      <c r="R7" s="1">
        <f t="shared" si="6"/>
        <v>0.75474679270763001</v>
      </c>
    </row>
    <row r="8" spans="1:18" x14ac:dyDescent="0.3">
      <c r="A8" s="42">
        <v>42170</v>
      </c>
      <c r="B8" s="11">
        <v>441</v>
      </c>
      <c r="C8" s="43">
        <v>190</v>
      </c>
      <c r="D8" s="11">
        <v>549</v>
      </c>
      <c r="E8" s="43">
        <v>1220</v>
      </c>
      <c r="F8" s="43">
        <v>1892</v>
      </c>
      <c r="G8" s="43">
        <v>2537</v>
      </c>
      <c r="H8" s="43">
        <v>990</v>
      </c>
      <c r="I8" s="43">
        <v>412</v>
      </c>
      <c r="J8" s="43">
        <v>581</v>
      </c>
      <c r="K8" s="31">
        <f t="shared" si="0"/>
        <v>8812</v>
      </c>
      <c r="L8" s="31">
        <f t="shared" si="1"/>
        <v>528.4</v>
      </c>
      <c r="M8" s="31">
        <f t="shared" si="2"/>
        <v>920.00000000000045</v>
      </c>
      <c r="N8" s="31">
        <f t="shared" si="3"/>
        <v>6680.4000000000005</v>
      </c>
      <c r="P8" s="1">
        <f t="shared" si="4"/>
        <v>5.9963685882886968E-2</v>
      </c>
      <c r="Q8" s="1">
        <f t="shared" si="5"/>
        <v>0.10440308669995466</v>
      </c>
      <c r="R8" s="1">
        <f t="shared" si="6"/>
        <v>0.75810258738084435</v>
      </c>
    </row>
    <row r="9" spans="1:18" x14ac:dyDescent="0.3">
      <c r="A9" s="42">
        <v>42200</v>
      </c>
      <c r="B9" s="11">
        <v>440</v>
      </c>
      <c r="C9" s="43">
        <v>220</v>
      </c>
      <c r="D9" s="11">
        <v>670</v>
      </c>
      <c r="E9" s="43">
        <v>1188</v>
      </c>
      <c r="F9" s="43">
        <v>1867</v>
      </c>
      <c r="G9" s="43">
        <v>2548</v>
      </c>
      <c r="H9" s="43">
        <v>990</v>
      </c>
      <c r="I9" s="43">
        <v>435</v>
      </c>
      <c r="J9" s="43">
        <v>534</v>
      </c>
      <c r="K9" s="31">
        <f t="shared" si="0"/>
        <v>8892</v>
      </c>
      <c r="L9" s="31">
        <f t="shared" si="1"/>
        <v>541.20000000000005</v>
      </c>
      <c r="M9" s="31">
        <f t="shared" si="2"/>
        <v>1050.1600000000003</v>
      </c>
      <c r="N9" s="31">
        <f t="shared" si="3"/>
        <v>6635.3600000000006</v>
      </c>
      <c r="P9" s="1">
        <f t="shared" si="4"/>
        <v>6.0863697705802973E-2</v>
      </c>
      <c r="Q9" s="1">
        <f t="shared" si="5"/>
        <v>0.11810166441745393</v>
      </c>
      <c r="R9" s="1">
        <f t="shared" si="6"/>
        <v>0.74621682411156098</v>
      </c>
    </row>
    <row r="10" spans="1:18" x14ac:dyDescent="0.3">
      <c r="A10" s="42">
        <v>42231</v>
      </c>
      <c r="B10" s="11">
        <v>438</v>
      </c>
      <c r="C10" s="43">
        <v>234</v>
      </c>
      <c r="D10" s="11">
        <v>694</v>
      </c>
      <c r="E10" s="43">
        <v>1205</v>
      </c>
      <c r="F10" s="43">
        <v>1851</v>
      </c>
      <c r="G10" s="43">
        <v>2554</v>
      </c>
      <c r="H10" s="43">
        <v>950</v>
      </c>
      <c r="I10" s="43">
        <v>458</v>
      </c>
      <c r="J10" s="43">
        <v>508</v>
      </c>
      <c r="K10" s="31">
        <f t="shared" si="0"/>
        <v>8892</v>
      </c>
      <c r="L10" s="31">
        <f t="shared" si="1"/>
        <v>545.64</v>
      </c>
      <c r="M10" s="31">
        <f t="shared" si="2"/>
        <v>1085.4600000000005</v>
      </c>
      <c r="N10" s="31">
        <f t="shared" si="3"/>
        <v>6586.1</v>
      </c>
      <c r="P10" s="1">
        <f t="shared" si="4"/>
        <v>6.136302294197031E-2</v>
      </c>
      <c r="Q10" s="1">
        <f t="shared" si="5"/>
        <v>0.12207152496626186</v>
      </c>
      <c r="R10" s="1">
        <f t="shared" si="6"/>
        <v>0.7406770130454341</v>
      </c>
    </row>
    <row r="11" spans="1:18" x14ac:dyDescent="0.3">
      <c r="A11" s="42">
        <v>42262</v>
      </c>
      <c r="B11" s="11">
        <v>435</v>
      </c>
      <c r="C11" s="43">
        <v>248</v>
      </c>
      <c r="D11" s="11">
        <v>632</v>
      </c>
      <c r="E11" s="43">
        <v>1270</v>
      </c>
      <c r="F11" s="43">
        <v>1828</v>
      </c>
      <c r="G11" s="43">
        <v>2555</v>
      </c>
      <c r="H11" s="43">
        <v>939</v>
      </c>
      <c r="I11" s="43">
        <v>474</v>
      </c>
      <c r="J11" s="43">
        <v>506</v>
      </c>
      <c r="K11" s="31">
        <f t="shared" si="0"/>
        <v>8887</v>
      </c>
      <c r="L11" s="31">
        <f t="shared" si="1"/>
        <v>549.08000000000004</v>
      </c>
      <c r="M11" s="31">
        <f t="shared" si="2"/>
        <v>1045.3200000000004</v>
      </c>
      <c r="N11" s="31">
        <f t="shared" si="3"/>
        <v>6581.4000000000005</v>
      </c>
      <c r="P11" s="1">
        <f t="shared" si="4"/>
        <v>6.1784629233712168E-2</v>
      </c>
      <c r="Q11" s="1">
        <f t="shared" si="5"/>
        <v>0.11762349499268598</v>
      </c>
      <c r="R11" s="1">
        <f t="shared" si="6"/>
        <v>0.74056487003488247</v>
      </c>
    </row>
    <row r="12" spans="1:18" x14ac:dyDescent="0.3">
      <c r="A12" s="42">
        <v>42292</v>
      </c>
      <c r="B12" s="11">
        <v>435</v>
      </c>
      <c r="C12" s="43">
        <v>251</v>
      </c>
      <c r="D12" s="11">
        <v>651</v>
      </c>
      <c r="E12" s="43">
        <v>1157</v>
      </c>
      <c r="F12" s="43">
        <v>1745</v>
      </c>
      <c r="G12" s="43">
        <v>2569</v>
      </c>
      <c r="H12" s="43">
        <v>975</v>
      </c>
      <c r="I12" s="43">
        <v>489</v>
      </c>
      <c r="J12" s="43">
        <v>518</v>
      </c>
      <c r="K12" s="31">
        <f t="shared" si="0"/>
        <v>8790</v>
      </c>
      <c r="L12" s="31">
        <f t="shared" si="1"/>
        <v>550.46</v>
      </c>
      <c r="M12" s="31">
        <f t="shared" si="2"/>
        <v>1041.0800000000004</v>
      </c>
      <c r="N12" s="31">
        <f t="shared" si="3"/>
        <v>6550.5400000000009</v>
      </c>
      <c r="P12" s="1">
        <f t="shared" si="4"/>
        <v>6.262343572241183E-2</v>
      </c>
      <c r="Q12" s="1">
        <f t="shared" si="5"/>
        <v>0.11843913538111495</v>
      </c>
      <c r="R12" s="1">
        <f t="shared" si="6"/>
        <v>0.74522639362912413</v>
      </c>
    </row>
    <row r="13" spans="1:18" x14ac:dyDescent="0.3">
      <c r="A13" s="42">
        <v>42323</v>
      </c>
      <c r="B13" s="11">
        <v>438</v>
      </c>
      <c r="C13" s="43">
        <v>232</v>
      </c>
      <c r="D13" s="11">
        <v>691</v>
      </c>
      <c r="E13" s="43">
        <v>1098</v>
      </c>
      <c r="F13" s="43">
        <v>1643</v>
      </c>
      <c r="G13" s="43">
        <v>2580</v>
      </c>
      <c r="H13" s="43">
        <v>1046</v>
      </c>
      <c r="I13" s="43">
        <v>470</v>
      </c>
      <c r="J13" s="43">
        <v>525</v>
      </c>
      <c r="K13" s="31">
        <f t="shared" si="0"/>
        <v>8723</v>
      </c>
      <c r="L13" s="31">
        <f t="shared" si="1"/>
        <v>544.72</v>
      </c>
      <c r="M13" s="31">
        <f t="shared" si="2"/>
        <v>1057.8400000000004</v>
      </c>
      <c r="N13" s="31">
        <f t="shared" si="3"/>
        <v>6505.56</v>
      </c>
      <c r="P13" s="1">
        <f t="shared" si="4"/>
        <v>6.2446406052963435E-2</v>
      </c>
      <c r="Q13" s="1">
        <f t="shared" si="5"/>
        <v>0.12127020520463147</v>
      </c>
      <c r="R13" s="1">
        <f t="shared" si="6"/>
        <v>0.74579387825289467</v>
      </c>
    </row>
    <row r="14" spans="1:18" x14ac:dyDescent="0.3">
      <c r="A14" s="42">
        <v>42353</v>
      </c>
      <c r="B14" s="11">
        <v>426</v>
      </c>
      <c r="C14" s="43">
        <v>251</v>
      </c>
      <c r="D14" s="11">
        <v>706</v>
      </c>
      <c r="E14" s="43">
        <v>1111</v>
      </c>
      <c r="F14" s="43">
        <v>1597</v>
      </c>
      <c r="G14" s="43">
        <v>2495</v>
      </c>
      <c r="H14" s="43">
        <v>1049</v>
      </c>
      <c r="I14" s="43">
        <v>484</v>
      </c>
      <c r="J14" s="43">
        <v>563</v>
      </c>
      <c r="K14" s="31">
        <f t="shared" si="0"/>
        <v>8682</v>
      </c>
      <c r="L14" s="31">
        <f t="shared" si="1"/>
        <v>541.46</v>
      </c>
      <c r="M14" s="31">
        <f t="shared" si="2"/>
        <v>1085.9600000000003</v>
      </c>
      <c r="N14" s="31">
        <f t="shared" si="3"/>
        <v>6432.42</v>
      </c>
      <c r="P14" s="1">
        <f t="shared" si="4"/>
        <v>6.2365814328495743E-2</v>
      </c>
      <c r="Q14" s="1">
        <f t="shared" si="5"/>
        <v>0.1250817783920756</v>
      </c>
      <c r="R14" s="1">
        <f t="shared" si="6"/>
        <v>0.74089149965445755</v>
      </c>
    </row>
    <row r="15" spans="1:18" x14ac:dyDescent="0.3">
      <c r="A15" s="42">
        <v>42384</v>
      </c>
      <c r="B15" s="11">
        <v>411</v>
      </c>
      <c r="C15" s="43">
        <v>238</v>
      </c>
      <c r="D15" s="11">
        <v>641</v>
      </c>
      <c r="E15" s="43">
        <v>1202</v>
      </c>
      <c r="F15" s="43">
        <v>1539</v>
      </c>
      <c r="G15" s="43">
        <v>2500</v>
      </c>
      <c r="H15" s="43">
        <v>1081</v>
      </c>
      <c r="I15" s="43">
        <v>471</v>
      </c>
      <c r="J15" s="43">
        <v>549</v>
      </c>
      <c r="K15" s="31">
        <f t="shared" si="0"/>
        <v>8632</v>
      </c>
      <c r="L15" s="31">
        <f t="shared" si="1"/>
        <v>520.48</v>
      </c>
      <c r="M15" s="31">
        <f t="shared" si="2"/>
        <v>1033.9600000000003</v>
      </c>
      <c r="N15" s="31">
        <f t="shared" si="3"/>
        <v>6404.4400000000005</v>
      </c>
      <c r="P15" s="1">
        <f t="shared" si="4"/>
        <v>6.0296570898980537E-2</v>
      </c>
      <c r="Q15" s="1">
        <f t="shared" si="5"/>
        <v>0.1197822057460612</v>
      </c>
      <c r="R15" s="1">
        <f t="shared" si="6"/>
        <v>0.74194161260426328</v>
      </c>
    </row>
    <row r="16" spans="1:18" x14ac:dyDescent="0.3">
      <c r="A16" s="42">
        <v>42415</v>
      </c>
      <c r="B16" s="11">
        <v>408</v>
      </c>
      <c r="C16" s="43">
        <v>200</v>
      </c>
      <c r="D16" s="11">
        <v>751</v>
      </c>
      <c r="E16" s="43">
        <v>1065</v>
      </c>
      <c r="F16" s="43">
        <v>1552</v>
      </c>
      <c r="G16" s="43">
        <v>2503</v>
      </c>
      <c r="H16" s="43">
        <v>1032</v>
      </c>
      <c r="I16" s="43">
        <v>469</v>
      </c>
      <c r="J16" s="43">
        <v>518</v>
      </c>
      <c r="K16" s="31">
        <f t="shared" si="0"/>
        <v>8498</v>
      </c>
      <c r="L16" s="31">
        <f t="shared" si="1"/>
        <v>500</v>
      </c>
      <c r="M16" s="31">
        <f t="shared" si="2"/>
        <v>1093.3000000000004</v>
      </c>
      <c r="N16" s="31">
        <f t="shared" si="3"/>
        <v>6308.3</v>
      </c>
      <c r="P16" s="1">
        <f t="shared" si="4"/>
        <v>5.8837373499646975E-2</v>
      </c>
      <c r="Q16" s="1">
        <f t="shared" si="5"/>
        <v>0.12865380089432812</v>
      </c>
      <c r="R16" s="1">
        <f t="shared" si="6"/>
        <v>0.74232760649564611</v>
      </c>
    </row>
    <row r="17" spans="1:18" x14ac:dyDescent="0.3">
      <c r="A17" s="42">
        <v>42444</v>
      </c>
      <c r="B17" s="11">
        <v>408</v>
      </c>
      <c r="C17" s="43">
        <v>178</v>
      </c>
      <c r="D17" s="11">
        <v>725</v>
      </c>
      <c r="E17" s="43">
        <v>1165</v>
      </c>
      <c r="F17" s="43">
        <v>1545</v>
      </c>
      <c r="G17" s="43">
        <v>2555</v>
      </c>
      <c r="H17" s="43">
        <v>1002</v>
      </c>
      <c r="I17" s="43">
        <v>465</v>
      </c>
      <c r="J17" s="43">
        <v>499</v>
      </c>
      <c r="K17" s="31">
        <f t="shared" si="0"/>
        <v>8542</v>
      </c>
      <c r="L17" s="31">
        <f t="shared" si="1"/>
        <v>489.88</v>
      </c>
      <c r="M17" s="31">
        <f t="shared" si="2"/>
        <v>1077.4200000000003</v>
      </c>
      <c r="N17" s="31">
        <f t="shared" si="3"/>
        <v>6322.3</v>
      </c>
      <c r="P17" s="1">
        <f t="shared" si="4"/>
        <v>5.7349566846171859E-2</v>
      </c>
      <c r="Q17" s="1">
        <f t="shared" si="5"/>
        <v>0.12613205338328265</v>
      </c>
      <c r="R17" s="1">
        <f t="shared" si="6"/>
        <v>0.74014282369468509</v>
      </c>
    </row>
    <row r="18" spans="1:18" x14ac:dyDescent="0.3">
      <c r="A18" s="42">
        <v>42475</v>
      </c>
      <c r="B18" s="11">
        <v>401</v>
      </c>
      <c r="C18" s="43">
        <v>166</v>
      </c>
      <c r="D18" s="11">
        <v>706</v>
      </c>
      <c r="E18" s="43">
        <v>1169</v>
      </c>
      <c r="F18" s="43">
        <v>1621</v>
      </c>
      <c r="G18" s="43">
        <v>2453</v>
      </c>
      <c r="H18" s="43">
        <v>912</v>
      </c>
      <c r="I18" s="43">
        <v>436</v>
      </c>
      <c r="J18" s="43">
        <v>467</v>
      </c>
      <c r="K18" s="31">
        <f t="shared" si="0"/>
        <v>8331</v>
      </c>
      <c r="L18" s="31">
        <f t="shared" si="1"/>
        <v>477.36</v>
      </c>
      <c r="M18" s="31">
        <f t="shared" si="2"/>
        <v>1052.8200000000004</v>
      </c>
      <c r="N18" s="31">
        <f t="shared" si="3"/>
        <v>6146.18</v>
      </c>
      <c r="P18" s="1">
        <f t="shared" si="4"/>
        <v>5.7299243788260713E-2</v>
      </c>
      <c r="Q18" s="1">
        <f t="shared" si="5"/>
        <v>0.12637378465970475</v>
      </c>
      <c r="R18" s="1">
        <f t="shared" si="6"/>
        <v>0.73774816948745647</v>
      </c>
    </row>
    <row r="19" spans="1:18" x14ac:dyDescent="0.3">
      <c r="A19" s="42">
        <v>42505</v>
      </c>
      <c r="B19" s="11">
        <v>404</v>
      </c>
      <c r="C19" s="43">
        <v>166</v>
      </c>
      <c r="D19" s="11">
        <v>690</v>
      </c>
      <c r="E19" s="43">
        <v>1180</v>
      </c>
      <c r="F19" s="43">
        <v>1562</v>
      </c>
      <c r="G19" s="43">
        <v>2474</v>
      </c>
      <c r="H19" s="43">
        <v>916</v>
      </c>
      <c r="I19" s="43">
        <v>415</v>
      </c>
      <c r="J19" s="43">
        <v>460</v>
      </c>
      <c r="K19" s="31">
        <f t="shared" si="0"/>
        <v>8267</v>
      </c>
      <c r="L19" s="31">
        <f t="shared" si="1"/>
        <v>480.36</v>
      </c>
      <c r="M19" s="31">
        <f t="shared" si="2"/>
        <v>1039.2400000000002</v>
      </c>
      <c r="N19" s="31">
        <f t="shared" si="3"/>
        <v>6086.6</v>
      </c>
      <c r="P19" s="1">
        <f t="shared" si="4"/>
        <v>5.8105721543486151E-2</v>
      </c>
      <c r="Q19" s="1">
        <f t="shared" si="5"/>
        <v>0.12570944719970972</v>
      </c>
      <c r="R19" s="1">
        <f t="shared" si="6"/>
        <v>0.73625257046086856</v>
      </c>
    </row>
    <row r="20" spans="1:18" x14ac:dyDescent="0.3">
      <c r="A20" s="42">
        <v>42536</v>
      </c>
      <c r="B20" s="11">
        <v>391</v>
      </c>
      <c r="C20" s="43">
        <v>171</v>
      </c>
      <c r="D20" s="11">
        <v>668</v>
      </c>
      <c r="E20" s="43">
        <v>1173</v>
      </c>
      <c r="F20" s="43">
        <v>1583</v>
      </c>
      <c r="G20" s="43">
        <v>2504</v>
      </c>
      <c r="H20" s="43">
        <v>830</v>
      </c>
      <c r="I20" s="43">
        <v>369</v>
      </c>
      <c r="J20" s="43">
        <v>455</v>
      </c>
      <c r="K20" s="31">
        <f t="shared" si="0"/>
        <v>8144</v>
      </c>
      <c r="L20" s="31">
        <f t="shared" si="1"/>
        <v>469.66</v>
      </c>
      <c r="M20" s="31">
        <f t="shared" si="2"/>
        <v>1018.4000000000003</v>
      </c>
      <c r="N20" s="31">
        <f t="shared" si="3"/>
        <v>5999.06</v>
      </c>
      <c r="P20" s="1">
        <f t="shared" si="4"/>
        <v>5.7669449901768179E-2</v>
      </c>
      <c r="Q20" s="1">
        <f t="shared" si="5"/>
        <v>0.12504911591355602</v>
      </c>
      <c r="R20" s="1">
        <f t="shared" si="6"/>
        <v>0.73662328094302554</v>
      </c>
    </row>
    <row r="21" spans="1:18" x14ac:dyDescent="0.3">
      <c r="A21" s="42">
        <v>42566</v>
      </c>
      <c r="B21" s="11">
        <v>400</v>
      </c>
      <c r="C21" s="43">
        <v>175</v>
      </c>
      <c r="D21" s="11">
        <v>761</v>
      </c>
      <c r="E21" s="43">
        <v>1070</v>
      </c>
      <c r="F21" s="43">
        <v>1631</v>
      </c>
      <c r="G21" s="43">
        <v>2482</v>
      </c>
      <c r="H21" s="43">
        <v>870</v>
      </c>
      <c r="I21" s="43">
        <v>357</v>
      </c>
      <c r="J21" s="43">
        <v>437</v>
      </c>
      <c r="K21" s="31">
        <f t="shared" si="0"/>
        <v>8183</v>
      </c>
      <c r="L21" s="31">
        <f t="shared" si="1"/>
        <v>480.5</v>
      </c>
      <c r="M21" s="31">
        <f t="shared" si="2"/>
        <v>1090.9000000000003</v>
      </c>
      <c r="N21" s="31">
        <f t="shared" si="3"/>
        <v>6012.4000000000005</v>
      </c>
      <c r="P21" s="1">
        <f t="shared" si="4"/>
        <v>5.8719296101674201E-2</v>
      </c>
      <c r="Q21" s="1">
        <f t="shared" si="5"/>
        <v>0.13331296590492489</v>
      </c>
      <c r="R21" s="1">
        <f t="shared" si="6"/>
        <v>0.73474275937920086</v>
      </c>
    </row>
    <row r="22" spans="1:18" x14ac:dyDescent="0.3">
      <c r="A22" s="42">
        <v>42597</v>
      </c>
      <c r="B22" s="11">
        <v>393</v>
      </c>
      <c r="C22" s="43">
        <v>169</v>
      </c>
      <c r="D22" s="11">
        <v>697</v>
      </c>
      <c r="E22" s="43">
        <v>1213</v>
      </c>
      <c r="F22" s="43">
        <v>1584</v>
      </c>
      <c r="G22" s="43">
        <v>2501</v>
      </c>
      <c r="H22" s="43">
        <v>841</v>
      </c>
      <c r="I22" s="43">
        <v>369</v>
      </c>
      <c r="J22" s="43">
        <v>421</v>
      </c>
      <c r="K22" s="31">
        <f t="shared" si="0"/>
        <v>8188</v>
      </c>
      <c r="L22" s="31">
        <f t="shared" si="1"/>
        <v>470.74</v>
      </c>
      <c r="M22" s="31">
        <f t="shared" si="2"/>
        <v>1055.1200000000003</v>
      </c>
      <c r="N22" s="31">
        <f t="shared" si="3"/>
        <v>5982.8600000000006</v>
      </c>
      <c r="P22" s="1">
        <f t="shared" si="4"/>
        <v>5.7491450903761607E-2</v>
      </c>
      <c r="Q22" s="1">
        <f t="shared" si="5"/>
        <v>0.12886174890083052</v>
      </c>
      <c r="R22" s="1">
        <f t="shared" si="6"/>
        <v>0.7306863702979971</v>
      </c>
    </row>
    <row r="23" spans="1:18" x14ac:dyDescent="0.3">
      <c r="A23" s="42">
        <v>42628</v>
      </c>
      <c r="B23" s="11">
        <v>397</v>
      </c>
      <c r="C23" s="43">
        <v>159</v>
      </c>
      <c r="D23" s="11">
        <v>779</v>
      </c>
      <c r="E23" s="43">
        <v>1023</v>
      </c>
      <c r="F23" s="43">
        <v>1537</v>
      </c>
      <c r="G23" s="43">
        <v>2437</v>
      </c>
      <c r="H23" s="43">
        <v>896</v>
      </c>
      <c r="I23" s="43">
        <v>413</v>
      </c>
      <c r="J23" s="43">
        <v>409</v>
      </c>
      <c r="K23" s="31">
        <f t="shared" si="0"/>
        <v>8050</v>
      </c>
      <c r="L23" s="31">
        <f t="shared" si="1"/>
        <v>470.14</v>
      </c>
      <c r="M23" s="31">
        <f t="shared" si="2"/>
        <v>1089.9200000000003</v>
      </c>
      <c r="N23" s="31">
        <f t="shared" si="3"/>
        <v>5917.06</v>
      </c>
      <c r="P23" s="1">
        <f t="shared" si="4"/>
        <v>5.8402484472049689E-2</v>
      </c>
      <c r="Q23" s="1">
        <f t="shared" si="5"/>
        <v>0.13539378881987582</v>
      </c>
      <c r="R23" s="1">
        <f t="shared" si="6"/>
        <v>0.73503850931677028</v>
      </c>
    </row>
    <row r="24" spans="1:18" x14ac:dyDescent="0.3">
      <c r="A24" s="42">
        <v>42658</v>
      </c>
      <c r="B24" s="11">
        <v>409</v>
      </c>
      <c r="C24" s="43">
        <v>139</v>
      </c>
      <c r="D24" s="11">
        <v>665</v>
      </c>
      <c r="E24" s="43">
        <v>1229</v>
      </c>
      <c r="F24" s="43">
        <v>1557</v>
      </c>
      <c r="G24" s="43">
        <v>2498</v>
      </c>
      <c r="H24" s="43">
        <v>991</v>
      </c>
      <c r="I24" s="43">
        <v>387</v>
      </c>
      <c r="J24" s="43">
        <v>419</v>
      </c>
      <c r="K24" s="31">
        <f t="shared" si="0"/>
        <v>8294</v>
      </c>
      <c r="L24" s="31">
        <f t="shared" si="1"/>
        <v>472.94</v>
      </c>
      <c r="M24" s="31">
        <f t="shared" si="2"/>
        <v>1010.4400000000003</v>
      </c>
      <c r="N24" s="31">
        <f t="shared" si="3"/>
        <v>6122.38</v>
      </c>
      <c r="P24" s="1">
        <f t="shared" si="4"/>
        <v>5.7021943573667709E-2</v>
      </c>
      <c r="Q24" s="1">
        <f t="shared" si="5"/>
        <v>0.12182782734506876</v>
      </c>
      <c r="R24" s="1">
        <f t="shared" si="6"/>
        <v>0.73816976127320955</v>
      </c>
    </row>
    <row r="25" spans="1:18" x14ac:dyDescent="0.3">
      <c r="A25" s="42">
        <v>42689</v>
      </c>
      <c r="B25" s="11">
        <v>393</v>
      </c>
      <c r="C25" s="43">
        <v>161</v>
      </c>
      <c r="D25" s="11">
        <v>682</v>
      </c>
      <c r="E25" s="43">
        <v>1247</v>
      </c>
      <c r="F25" s="43">
        <v>1499</v>
      </c>
      <c r="G25" s="43">
        <v>2631</v>
      </c>
      <c r="H25" s="43">
        <v>971</v>
      </c>
      <c r="I25" s="43">
        <v>388</v>
      </c>
      <c r="J25" s="43">
        <v>404</v>
      </c>
      <c r="K25" s="31">
        <f t="shared" si="0"/>
        <v>8376</v>
      </c>
      <c r="L25" s="31">
        <f t="shared" si="1"/>
        <v>467.06000000000006</v>
      </c>
      <c r="M25" s="31">
        <f t="shared" si="2"/>
        <v>1043.2800000000002</v>
      </c>
      <c r="N25" s="31">
        <f t="shared" si="3"/>
        <v>6167.34</v>
      </c>
      <c r="P25" s="1">
        <f t="shared" si="4"/>
        <v>5.5761700095510992E-2</v>
      </c>
      <c r="Q25" s="1">
        <f t="shared" si="5"/>
        <v>0.12455587392550145</v>
      </c>
      <c r="R25" s="1">
        <f t="shared" si="6"/>
        <v>0.73631088825214897</v>
      </c>
    </row>
    <row r="26" spans="1:18" x14ac:dyDescent="0.3">
      <c r="A26" s="42">
        <v>42719</v>
      </c>
      <c r="B26" s="11">
        <v>384</v>
      </c>
      <c r="C26" s="43">
        <v>147</v>
      </c>
      <c r="D26" s="11">
        <v>693</v>
      </c>
      <c r="E26" s="43">
        <v>1287</v>
      </c>
      <c r="F26" s="43">
        <v>1449</v>
      </c>
      <c r="G26" s="43">
        <v>2498</v>
      </c>
      <c r="H26" s="43">
        <v>976</v>
      </c>
      <c r="I26" s="43">
        <v>402</v>
      </c>
      <c r="J26" s="43">
        <v>442</v>
      </c>
      <c r="K26" s="31">
        <f t="shared" si="0"/>
        <v>8278</v>
      </c>
      <c r="L26" s="31">
        <f t="shared" si="1"/>
        <v>451.62</v>
      </c>
      <c r="M26" s="31">
        <f t="shared" si="2"/>
        <v>1055.5200000000004</v>
      </c>
      <c r="N26" s="31">
        <f t="shared" si="3"/>
        <v>6050.14</v>
      </c>
      <c r="P26" s="1">
        <f t="shared" si="4"/>
        <v>5.455665619714907E-2</v>
      </c>
      <c r="Q26" s="1">
        <f t="shared" si="5"/>
        <v>0.12750906015945887</v>
      </c>
      <c r="R26" s="1">
        <f t="shared" si="6"/>
        <v>0.73086977530804542</v>
      </c>
    </row>
    <row r="27" spans="1:18" x14ac:dyDescent="0.3">
      <c r="A27" s="42">
        <v>42750</v>
      </c>
      <c r="B27" s="11">
        <v>376</v>
      </c>
      <c r="C27" s="43">
        <v>183</v>
      </c>
      <c r="D27" s="11">
        <v>727</v>
      </c>
      <c r="E27" s="43">
        <v>1253</v>
      </c>
      <c r="F27" s="43">
        <v>1499</v>
      </c>
      <c r="G27" s="43">
        <v>2482</v>
      </c>
      <c r="H27" s="43">
        <v>966</v>
      </c>
      <c r="I27" s="43">
        <v>414</v>
      </c>
      <c r="J27" s="43">
        <v>443</v>
      </c>
      <c r="K27" s="31">
        <f t="shared" si="0"/>
        <v>8343</v>
      </c>
      <c r="L27" s="31">
        <f t="shared" si="1"/>
        <v>460.18000000000006</v>
      </c>
      <c r="M27" s="31">
        <f t="shared" si="2"/>
        <v>1101.4800000000002</v>
      </c>
      <c r="N27" s="31">
        <f t="shared" si="3"/>
        <v>6079.66</v>
      </c>
      <c r="P27" s="1">
        <f t="shared" si="4"/>
        <v>5.5157617164089665E-2</v>
      </c>
      <c r="Q27" s="1">
        <f t="shared" si="5"/>
        <v>0.13202445163610216</v>
      </c>
      <c r="R27" s="1">
        <f t="shared" si="6"/>
        <v>0.72871389188541291</v>
      </c>
    </row>
    <row r="28" spans="1:18" x14ac:dyDescent="0.3">
      <c r="A28" s="42">
        <v>42781</v>
      </c>
      <c r="B28" s="11">
        <v>382</v>
      </c>
      <c r="C28" s="43">
        <v>195</v>
      </c>
      <c r="D28" s="11">
        <v>685</v>
      </c>
      <c r="E28" s="43">
        <v>1283</v>
      </c>
      <c r="F28" s="43">
        <v>1659</v>
      </c>
      <c r="G28" s="43">
        <v>2573</v>
      </c>
      <c r="H28" s="43">
        <v>960</v>
      </c>
      <c r="I28" s="43">
        <v>400</v>
      </c>
      <c r="J28" s="43">
        <v>444</v>
      </c>
      <c r="K28" s="31">
        <f t="shared" si="0"/>
        <v>8581</v>
      </c>
      <c r="L28" s="31">
        <f t="shared" si="1"/>
        <v>471.70000000000005</v>
      </c>
      <c r="M28" s="31">
        <f t="shared" si="2"/>
        <v>1072.5600000000004</v>
      </c>
      <c r="N28" s="31">
        <f t="shared" si="3"/>
        <v>6318.26</v>
      </c>
      <c r="P28" s="1">
        <f t="shared" si="4"/>
        <v>5.4970283183778119E-2</v>
      </c>
      <c r="Q28" s="1">
        <f t="shared" si="5"/>
        <v>0.12499242512527682</v>
      </c>
      <c r="R28" s="1">
        <f t="shared" si="6"/>
        <v>0.73630812259643397</v>
      </c>
    </row>
    <row r="29" spans="1:18" x14ac:dyDescent="0.3">
      <c r="A29" s="42">
        <v>42809</v>
      </c>
      <c r="B29" s="11">
        <v>369</v>
      </c>
      <c r="C29" s="43">
        <v>161</v>
      </c>
      <c r="D29" s="11">
        <v>705</v>
      </c>
      <c r="E29" s="43">
        <v>1360</v>
      </c>
      <c r="F29" s="43">
        <v>1692</v>
      </c>
      <c r="G29" s="43">
        <v>2562</v>
      </c>
      <c r="H29" s="43">
        <v>945</v>
      </c>
      <c r="I29" s="43">
        <v>405</v>
      </c>
      <c r="J29" s="43">
        <v>429</v>
      </c>
      <c r="K29" s="31">
        <f t="shared" si="0"/>
        <v>8628</v>
      </c>
      <c r="L29" s="31">
        <f t="shared" si="1"/>
        <v>443.06000000000006</v>
      </c>
      <c r="M29" s="31">
        <f t="shared" si="2"/>
        <v>1091.1400000000003</v>
      </c>
      <c r="N29" s="31">
        <f t="shared" si="3"/>
        <v>6332.2000000000007</v>
      </c>
      <c r="P29" s="1">
        <f t="shared" si="4"/>
        <v>5.1351414000927222E-2</v>
      </c>
      <c r="Q29" s="1">
        <f t="shared" si="5"/>
        <v>0.12646499768196573</v>
      </c>
      <c r="R29" s="1">
        <f t="shared" si="6"/>
        <v>0.73391284191006034</v>
      </c>
    </row>
    <row r="30" spans="1:18" x14ac:dyDescent="0.3">
      <c r="A30" s="42">
        <v>42840</v>
      </c>
      <c r="B30" s="11">
        <v>374</v>
      </c>
      <c r="C30" s="43">
        <v>140</v>
      </c>
      <c r="D30" s="11">
        <v>777</v>
      </c>
      <c r="E30" s="43">
        <v>1246</v>
      </c>
      <c r="F30" s="43">
        <v>1631</v>
      </c>
      <c r="G30" s="43">
        <v>2627</v>
      </c>
      <c r="H30" s="43">
        <v>935</v>
      </c>
      <c r="I30" s="43">
        <v>403</v>
      </c>
      <c r="J30" s="43">
        <v>428</v>
      </c>
      <c r="K30" s="31">
        <f t="shared" si="0"/>
        <v>8561</v>
      </c>
      <c r="L30" s="31">
        <f t="shared" si="1"/>
        <v>438.40000000000003</v>
      </c>
      <c r="M30" s="31">
        <f t="shared" si="2"/>
        <v>1126.7200000000003</v>
      </c>
      <c r="N30" s="31">
        <f t="shared" si="3"/>
        <v>6298.1200000000008</v>
      </c>
      <c r="P30" s="1">
        <f t="shared" si="4"/>
        <v>5.1208970914612781E-2</v>
      </c>
      <c r="Q30" s="1">
        <f t="shared" si="5"/>
        <v>0.13161079313164353</v>
      </c>
      <c r="R30" s="1">
        <f t="shared" si="6"/>
        <v>0.73567573881555903</v>
      </c>
    </row>
    <row r="31" spans="1:18" x14ac:dyDescent="0.3">
      <c r="A31" s="42">
        <v>42870</v>
      </c>
      <c r="B31" s="11">
        <v>369</v>
      </c>
      <c r="C31" s="43">
        <v>166</v>
      </c>
      <c r="D31" s="11">
        <v>778</v>
      </c>
      <c r="E31" s="43">
        <v>1191</v>
      </c>
      <c r="F31" s="43">
        <v>1763</v>
      </c>
      <c r="G31" s="43">
        <v>2652</v>
      </c>
      <c r="H31" s="43">
        <v>956</v>
      </c>
      <c r="I31" s="43">
        <v>379</v>
      </c>
      <c r="J31" s="43">
        <v>414</v>
      </c>
      <c r="K31" s="31">
        <f t="shared" si="0"/>
        <v>8668</v>
      </c>
      <c r="L31" s="31">
        <f t="shared" si="1"/>
        <v>445.36</v>
      </c>
      <c r="M31" s="31">
        <f t="shared" si="2"/>
        <v>1129.6600000000003</v>
      </c>
      <c r="N31" s="31">
        <f t="shared" si="3"/>
        <v>6426.02</v>
      </c>
      <c r="P31" s="1">
        <f t="shared" si="4"/>
        <v>5.1379787724965389E-2</v>
      </c>
      <c r="Q31" s="1">
        <f t="shared" si="5"/>
        <v>0.13032533456391329</v>
      </c>
      <c r="R31" s="1">
        <f t="shared" si="6"/>
        <v>0.74134979233964016</v>
      </c>
    </row>
    <row r="32" spans="1:18" x14ac:dyDescent="0.3">
      <c r="A32" s="42">
        <v>42901</v>
      </c>
      <c r="B32" s="11">
        <v>369</v>
      </c>
      <c r="C32" s="43">
        <v>157</v>
      </c>
      <c r="D32" s="11">
        <v>768</v>
      </c>
      <c r="E32" s="43">
        <v>1140</v>
      </c>
      <c r="F32" s="43">
        <v>1832</v>
      </c>
      <c r="G32" s="43">
        <v>2744</v>
      </c>
      <c r="H32" s="43">
        <v>926</v>
      </c>
      <c r="I32" s="43">
        <v>319</v>
      </c>
      <c r="J32" s="43">
        <v>379</v>
      </c>
      <c r="K32" s="31">
        <f t="shared" si="0"/>
        <v>8634</v>
      </c>
      <c r="L32" s="31">
        <f t="shared" si="1"/>
        <v>441.22</v>
      </c>
      <c r="M32" s="31">
        <f t="shared" si="2"/>
        <v>1103.5800000000004</v>
      </c>
      <c r="N32" s="31">
        <f t="shared" si="3"/>
        <v>6450.8</v>
      </c>
      <c r="P32" s="1">
        <f t="shared" si="4"/>
        <v>5.1102617558489695E-2</v>
      </c>
      <c r="Q32" s="1">
        <f t="shared" si="5"/>
        <v>0.12781792911744272</v>
      </c>
      <c r="R32" s="1">
        <f t="shared" si="6"/>
        <v>0.74713921704887654</v>
      </c>
    </row>
    <row r="33" spans="1:18" x14ac:dyDescent="0.3">
      <c r="A33" s="42">
        <v>42931</v>
      </c>
      <c r="B33" s="11">
        <v>369</v>
      </c>
      <c r="C33" s="43">
        <v>161</v>
      </c>
      <c r="D33" s="11">
        <v>766</v>
      </c>
      <c r="E33" s="43">
        <v>1377</v>
      </c>
      <c r="F33" s="43">
        <v>1778</v>
      </c>
      <c r="G33" s="43">
        <v>2723</v>
      </c>
      <c r="H33" s="43">
        <v>909</v>
      </c>
      <c r="I33" s="43">
        <v>356</v>
      </c>
      <c r="J33" s="43">
        <v>367</v>
      </c>
      <c r="K33" s="31">
        <f t="shared" si="0"/>
        <v>8806</v>
      </c>
      <c r="L33" s="31">
        <f t="shared" si="1"/>
        <v>443.06000000000006</v>
      </c>
      <c r="M33" s="31">
        <f t="shared" si="2"/>
        <v>1155.8800000000003</v>
      </c>
      <c r="N33" s="31">
        <f t="shared" si="3"/>
        <v>6435.9400000000005</v>
      </c>
      <c r="P33" s="1">
        <f t="shared" si="4"/>
        <v>5.031342266636385E-2</v>
      </c>
      <c r="Q33" s="1">
        <f t="shared" si="5"/>
        <v>0.1312605042016807</v>
      </c>
      <c r="R33" s="1">
        <f t="shared" si="6"/>
        <v>0.73085850556438803</v>
      </c>
    </row>
    <row r="34" spans="1:18" x14ac:dyDescent="0.3">
      <c r="A34" s="42">
        <v>42962</v>
      </c>
      <c r="B34" s="11">
        <v>371</v>
      </c>
      <c r="C34" s="43">
        <v>161</v>
      </c>
      <c r="D34" s="11">
        <v>641</v>
      </c>
      <c r="E34" s="43">
        <v>1522</v>
      </c>
      <c r="F34" s="43">
        <v>1682</v>
      </c>
      <c r="G34" s="43">
        <v>2757</v>
      </c>
      <c r="H34" s="43">
        <v>937</v>
      </c>
      <c r="I34" s="43">
        <v>327</v>
      </c>
      <c r="J34" s="43">
        <v>368</v>
      </c>
      <c r="K34" s="31">
        <f t="shared" si="0"/>
        <v>8766</v>
      </c>
      <c r="L34" s="31">
        <f t="shared" si="1"/>
        <v>445.06000000000006</v>
      </c>
      <c r="M34" s="31">
        <f t="shared" si="2"/>
        <v>1062.7800000000004</v>
      </c>
      <c r="N34" s="31">
        <f t="shared" si="3"/>
        <v>6405.84</v>
      </c>
      <c r="P34" s="1">
        <f t="shared" si="4"/>
        <v>5.0771161305042216E-2</v>
      </c>
      <c r="Q34" s="1">
        <f t="shared" si="5"/>
        <v>0.12123887748117733</v>
      </c>
      <c r="R34" s="1">
        <f t="shared" si="6"/>
        <v>0.73075975359342915</v>
      </c>
    </row>
    <row r="35" spans="1:18" x14ac:dyDescent="0.3">
      <c r="A35" s="42">
        <v>42993</v>
      </c>
      <c r="B35" s="11">
        <v>373</v>
      </c>
      <c r="C35" s="43">
        <v>153</v>
      </c>
      <c r="D35" s="11">
        <v>680</v>
      </c>
      <c r="E35" s="43">
        <v>1385</v>
      </c>
      <c r="F35" s="43">
        <v>1788</v>
      </c>
      <c r="G35" s="43">
        <v>2821</v>
      </c>
      <c r="H35" s="43">
        <v>1060</v>
      </c>
      <c r="I35" s="43">
        <v>385</v>
      </c>
      <c r="J35" s="43">
        <v>362</v>
      </c>
      <c r="K35" s="31">
        <f t="shared" si="0"/>
        <v>9007</v>
      </c>
      <c r="L35" s="31">
        <f t="shared" si="1"/>
        <v>443.38</v>
      </c>
      <c r="M35" s="31">
        <f t="shared" si="2"/>
        <v>1067.3200000000004</v>
      </c>
      <c r="N35" s="31">
        <f t="shared" si="3"/>
        <v>6720.7000000000007</v>
      </c>
      <c r="P35" s="1">
        <f t="shared" si="4"/>
        <v>4.9226157433107584E-2</v>
      </c>
      <c r="Q35" s="1">
        <f t="shared" si="5"/>
        <v>0.1184989452647941</v>
      </c>
      <c r="R35" s="1">
        <f t="shared" si="6"/>
        <v>0.7461640945930943</v>
      </c>
    </row>
    <row r="36" spans="1:18" x14ac:dyDescent="0.3">
      <c r="A36" s="42">
        <v>43023</v>
      </c>
      <c r="B36" s="11">
        <v>368</v>
      </c>
      <c r="C36" s="43">
        <v>133</v>
      </c>
      <c r="D36" s="11">
        <v>673</v>
      </c>
      <c r="E36" s="43">
        <v>1241</v>
      </c>
      <c r="F36" s="43">
        <v>1715</v>
      </c>
      <c r="G36" s="43">
        <v>3040</v>
      </c>
      <c r="H36" s="43">
        <v>1128</v>
      </c>
      <c r="I36" s="43">
        <v>377</v>
      </c>
      <c r="J36" s="43">
        <v>460</v>
      </c>
      <c r="K36" s="31">
        <f t="shared" si="0"/>
        <v>9135</v>
      </c>
      <c r="L36" s="31">
        <f t="shared" si="1"/>
        <v>429.18</v>
      </c>
      <c r="M36" s="31">
        <f t="shared" si="2"/>
        <v>1017.8400000000003</v>
      </c>
      <c r="N36" s="31">
        <f t="shared" si="3"/>
        <v>6993.02</v>
      </c>
      <c r="P36" s="1">
        <f t="shared" si="4"/>
        <v>4.6981937602627262E-2</v>
      </c>
      <c r="Q36" s="1">
        <f t="shared" si="5"/>
        <v>0.11142200328407227</v>
      </c>
      <c r="R36" s="1">
        <f t="shared" si="6"/>
        <v>0.76551943076081008</v>
      </c>
    </row>
    <row r="37" spans="1:18" x14ac:dyDescent="0.3">
      <c r="A37" s="42">
        <v>43054</v>
      </c>
      <c r="B37" s="11">
        <v>371</v>
      </c>
      <c r="C37" s="43">
        <v>153</v>
      </c>
      <c r="D37" s="11">
        <v>698</v>
      </c>
      <c r="E37" s="43">
        <v>1395</v>
      </c>
      <c r="F37" s="43">
        <v>1729</v>
      </c>
      <c r="G37" s="43">
        <v>3073</v>
      </c>
      <c r="H37" s="43">
        <v>1233</v>
      </c>
      <c r="I37" s="43">
        <v>403</v>
      </c>
      <c r="J37" s="43">
        <v>488</v>
      </c>
      <c r="K37" s="31">
        <f t="shared" si="0"/>
        <v>9543</v>
      </c>
      <c r="L37" s="31">
        <f t="shared" si="1"/>
        <v>441.38</v>
      </c>
      <c r="M37" s="31">
        <f t="shared" si="2"/>
        <v>1087.5200000000004</v>
      </c>
      <c r="N37" s="31">
        <f t="shared" si="3"/>
        <v>7232.9000000000005</v>
      </c>
      <c r="P37" s="1">
        <f t="shared" si="4"/>
        <v>4.625170281882008E-2</v>
      </c>
      <c r="Q37" s="1">
        <f t="shared" si="5"/>
        <v>0.11395997065912192</v>
      </c>
      <c r="R37" s="1">
        <f t="shared" si="6"/>
        <v>0.75792727653777647</v>
      </c>
    </row>
    <row r="38" spans="1:18" x14ac:dyDescent="0.3">
      <c r="A38" s="42">
        <v>43084</v>
      </c>
      <c r="B38" s="11">
        <v>368</v>
      </c>
      <c r="C38" s="43">
        <v>134</v>
      </c>
      <c r="D38" s="11">
        <v>787</v>
      </c>
      <c r="E38" s="43">
        <v>1216</v>
      </c>
      <c r="F38" s="43">
        <v>1666</v>
      </c>
      <c r="G38" s="43">
        <v>3028</v>
      </c>
      <c r="H38" s="43">
        <v>1323</v>
      </c>
      <c r="I38" s="43">
        <v>456</v>
      </c>
      <c r="J38" s="43">
        <v>463</v>
      </c>
      <c r="K38" s="31">
        <f t="shared" si="0"/>
        <v>9441</v>
      </c>
      <c r="L38" s="31">
        <f t="shared" si="1"/>
        <v>429.64000000000004</v>
      </c>
      <c r="M38" s="31">
        <f t="shared" si="2"/>
        <v>1126.8800000000003</v>
      </c>
      <c r="N38" s="31">
        <f t="shared" si="3"/>
        <v>7203.52</v>
      </c>
      <c r="P38" s="1">
        <f t="shared" si="4"/>
        <v>4.5507891113229539E-2</v>
      </c>
      <c r="Q38" s="1">
        <f t="shared" si="5"/>
        <v>0.11936023726300184</v>
      </c>
      <c r="R38" s="1">
        <f t="shared" si="6"/>
        <v>0.76300391907636911</v>
      </c>
    </row>
    <row r="39" spans="1:18" x14ac:dyDescent="0.3">
      <c r="A39" s="42">
        <v>43115</v>
      </c>
      <c r="B39" s="11">
        <v>359</v>
      </c>
      <c r="C39" s="43">
        <v>119</v>
      </c>
      <c r="D39" s="11">
        <v>806</v>
      </c>
      <c r="E39" s="43">
        <v>1220</v>
      </c>
      <c r="F39" s="43">
        <v>1677</v>
      </c>
      <c r="G39" s="43">
        <v>3026</v>
      </c>
      <c r="H39" s="43">
        <v>1363</v>
      </c>
      <c r="I39" s="43">
        <v>423</v>
      </c>
      <c r="J39" s="43">
        <v>471</v>
      </c>
      <c r="K39" s="31">
        <f t="shared" si="0"/>
        <v>9464</v>
      </c>
      <c r="L39" s="31">
        <f t="shared" si="1"/>
        <v>413.74</v>
      </c>
      <c r="M39" s="31">
        <f t="shared" si="2"/>
        <v>1138.6600000000003</v>
      </c>
      <c r="N39" s="31">
        <f t="shared" si="3"/>
        <v>7228.4000000000005</v>
      </c>
      <c r="P39" s="1">
        <f t="shared" si="4"/>
        <v>4.3717244294167373E-2</v>
      </c>
      <c r="Q39" s="1">
        <f t="shared" si="5"/>
        <v>0.12031487743026208</v>
      </c>
      <c r="R39" s="1">
        <f t="shared" si="6"/>
        <v>0.76377852916314459</v>
      </c>
    </row>
    <row r="40" spans="1:18" x14ac:dyDescent="0.3">
      <c r="A40" s="42">
        <v>43146</v>
      </c>
      <c r="B40" s="11">
        <v>374</v>
      </c>
      <c r="C40" s="43">
        <v>241</v>
      </c>
      <c r="D40" s="11">
        <v>735</v>
      </c>
      <c r="E40" s="43">
        <v>1339</v>
      </c>
      <c r="F40" s="43">
        <v>1650</v>
      </c>
      <c r="G40" s="43">
        <v>3100</v>
      </c>
      <c r="H40" s="43">
        <v>1366</v>
      </c>
      <c r="I40" s="43">
        <v>412</v>
      </c>
      <c r="J40" s="43">
        <v>525</v>
      </c>
      <c r="K40" s="31">
        <f t="shared" si="0"/>
        <v>9742</v>
      </c>
      <c r="L40" s="31">
        <f t="shared" si="1"/>
        <v>484.86</v>
      </c>
      <c r="M40" s="31">
        <f t="shared" si="2"/>
        <v>1159.7200000000003</v>
      </c>
      <c r="N40" s="31">
        <f t="shared" si="3"/>
        <v>7347.58</v>
      </c>
      <c r="P40" s="1">
        <f t="shared" si="4"/>
        <v>4.9770067747895712E-2</v>
      </c>
      <c r="Q40" s="1">
        <f t="shared" si="5"/>
        <v>0.11904331759392324</v>
      </c>
      <c r="R40" s="1">
        <f t="shared" si="6"/>
        <v>0.75421679326626978</v>
      </c>
    </row>
    <row r="41" spans="1:18" x14ac:dyDescent="0.3">
      <c r="A41" s="42">
        <v>43174</v>
      </c>
      <c r="B41" s="11">
        <v>345</v>
      </c>
      <c r="C41" s="43">
        <v>120</v>
      </c>
      <c r="D41" s="11">
        <v>676</v>
      </c>
      <c r="E41" s="43">
        <v>1457</v>
      </c>
      <c r="F41" s="43">
        <v>1847</v>
      </c>
      <c r="G41" s="43">
        <v>3271</v>
      </c>
      <c r="H41" s="43">
        <v>1324</v>
      </c>
      <c r="I41" s="43">
        <v>426</v>
      </c>
      <c r="J41" s="43">
        <v>459</v>
      </c>
      <c r="K41" s="31">
        <f t="shared" si="0"/>
        <v>9925</v>
      </c>
      <c r="L41" s="31">
        <f t="shared" si="1"/>
        <v>400.20000000000005</v>
      </c>
      <c r="M41" s="31">
        <f t="shared" si="2"/>
        <v>1061.3400000000004</v>
      </c>
      <c r="N41" s="31">
        <f t="shared" si="3"/>
        <v>7647.5400000000009</v>
      </c>
      <c r="P41" s="1">
        <f t="shared" si="4"/>
        <v>4.0322418136020159E-2</v>
      </c>
      <c r="Q41" s="1">
        <f t="shared" si="5"/>
        <v>0.10693602015113354</v>
      </c>
      <c r="R41" s="1">
        <f t="shared" si="6"/>
        <v>0.77053299748110837</v>
      </c>
    </row>
    <row r="42" spans="1:18" x14ac:dyDescent="0.3">
      <c r="A42" s="42">
        <v>43205</v>
      </c>
      <c r="B42" s="11">
        <v>358</v>
      </c>
      <c r="C42" s="43">
        <v>118</v>
      </c>
      <c r="D42" s="11">
        <v>648</v>
      </c>
      <c r="E42" s="43">
        <v>1446</v>
      </c>
      <c r="F42" s="43">
        <v>1860</v>
      </c>
      <c r="G42" s="43">
        <v>3357</v>
      </c>
      <c r="H42" s="43">
        <v>1280</v>
      </c>
      <c r="I42" s="43">
        <v>458</v>
      </c>
      <c r="J42" s="43">
        <v>444</v>
      </c>
      <c r="K42" s="31">
        <f t="shared" si="0"/>
        <v>9969</v>
      </c>
      <c r="L42" s="31">
        <f t="shared" si="1"/>
        <v>412.28000000000003</v>
      </c>
      <c r="M42" s="31">
        <f t="shared" si="2"/>
        <v>1029.8400000000004</v>
      </c>
      <c r="N42" s="31">
        <f t="shared" si="3"/>
        <v>7717.1200000000008</v>
      </c>
      <c r="P42" s="1">
        <f t="shared" si="4"/>
        <v>4.1356204233122681E-2</v>
      </c>
      <c r="Q42" s="1">
        <f t="shared" si="5"/>
        <v>0.10330424315377675</v>
      </c>
      <c r="R42" s="1">
        <f t="shared" si="6"/>
        <v>0.77411174641388314</v>
      </c>
    </row>
    <row r="43" spans="1:18" x14ac:dyDescent="0.3">
      <c r="A43" s="42">
        <v>43235</v>
      </c>
      <c r="B43" s="11">
        <v>340</v>
      </c>
      <c r="C43" s="43">
        <v>110</v>
      </c>
      <c r="D43" s="11">
        <v>565</v>
      </c>
      <c r="E43" s="43">
        <v>1404</v>
      </c>
      <c r="F43" s="43">
        <v>2034</v>
      </c>
      <c r="G43" s="43">
        <v>3364</v>
      </c>
      <c r="H43" s="43">
        <v>1233</v>
      </c>
      <c r="I43" s="43">
        <v>429</v>
      </c>
      <c r="J43" s="43">
        <v>430</v>
      </c>
      <c r="K43" s="31">
        <f t="shared" si="0"/>
        <v>9909</v>
      </c>
      <c r="L43" s="31">
        <f t="shared" si="1"/>
        <v>390.6</v>
      </c>
      <c r="M43" s="31">
        <f t="shared" si="2"/>
        <v>933.28000000000043</v>
      </c>
      <c r="N43" s="31">
        <f t="shared" si="3"/>
        <v>7798.880000000001</v>
      </c>
      <c r="P43" s="1">
        <f t="shared" si="4"/>
        <v>3.9418710263396911E-2</v>
      </c>
      <c r="Q43" s="1">
        <f t="shared" si="5"/>
        <v>9.4185084266828173E-2</v>
      </c>
      <c r="R43" s="1">
        <f t="shared" si="6"/>
        <v>0.78705015642345355</v>
      </c>
    </row>
    <row r="44" spans="1:18" x14ac:dyDescent="0.3">
      <c r="A44" s="42">
        <v>43266</v>
      </c>
      <c r="B44" s="11">
        <v>367</v>
      </c>
      <c r="C44" s="43">
        <v>116</v>
      </c>
      <c r="D44" s="11">
        <v>679</v>
      </c>
      <c r="E44" s="43">
        <v>1450</v>
      </c>
      <c r="F44" s="43">
        <v>2212</v>
      </c>
      <c r="G44" s="43">
        <v>3339</v>
      </c>
      <c r="H44" s="43">
        <v>1140</v>
      </c>
      <c r="I44" s="43">
        <v>442</v>
      </c>
      <c r="J44" s="43">
        <v>421</v>
      </c>
      <c r="K44" s="31">
        <f t="shared" si="0"/>
        <v>10166</v>
      </c>
      <c r="L44" s="31">
        <f t="shared" si="1"/>
        <v>420.36</v>
      </c>
      <c r="M44" s="31">
        <f t="shared" si="2"/>
        <v>1060.6400000000003</v>
      </c>
      <c r="N44" s="31">
        <f t="shared" si="3"/>
        <v>7873</v>
      </c>
      <c r="P44" s="1">
        <f t="shared" si="4"/>
        <v>4.1349596694865237E-2</v>
      </c>
      <c r="Q44" s="1">
        <f t="shared" si="5"/>
        <v>0.10433208734999019</v>
      </c>
      <c r="R44" s="1">
        <f t="shared" si="6"/>
        <v>0.77444422585087547</v>
      </c>
    </row>
    <row r="45" spans="1:18" x14ac:dyDescent="0.3">
      <c r="A45" s="42">
        <v>43296</v>
      </c>
      <c r="B45" s="11">
        <v>352</v>
      </c>
      <c r="C45" s="43">
        <v>115</v>
      </c>
      <c r="D45" s="11">
        <v>883</v>
      </c>
      <c r="E45" s="43">
        <v>1399</v>
      </c>
      <c r="F45" s="43">
        <v>2180</v>
      </c>
      <c r="G45" s="43">
        <v>3385</v>
      </c>
      <c r="H45" s="43">
        <v>1311</v>
      </c>
      <c r="I45" s="43">
        <v>436</v>
      </c>
      <c r="J45" s="43">
        <v>419</v>
      </c>
      <c r="K45" s="31">
        <f t="shared" si="0"/>
        <v>10480</v>
      </c>
      <c r="L45" s="31">
        <f t="shared" si="1"/>
        <v>404.90000000000003</v>
      </c>
      <c r="M45" s="31">
        <f t="shared" si="2"/>
        <v>1252.8800000000003</v>
      </c>
      <c r="N45" s="31">
        <f t="shared" si="3"/>
        <v>8038.7800000000007</v>
      </c>
      <c r="P45" s="1">
        <f t="shared" si="4"/>
        <v>3.8635496183206108E-2</v>
      </c>
      <c r="Q45" s="1">
        <f t="shared" si="5"/>
        <v>0.11954961832061071</v>
      </c>
      <c r="R45" s="1">
        <f t="shared" si="6"/>
        <v>0.7670591603053436</v>
      </c>
    </row>
    <row r="46" spans="1:18" x14ac:dyDescent="0.3">
      <c r="A46" s="42">
        <v>43327</v>
      </c>
      <c r="B46" s="11">
        <v>361</v>
      </c>
      <c r="C46" s="43">
        <v>125</v>
      </c>
      <c r="D46" s="11">
        <v>744</v>
      </c>
      <c r="E46" s="43">
        <v>1564</v>
      </c>
      <c r="F46" s="43">
        <v>2390</v>
      </c>
      <c r="G46" s="43">
        <v>3489</v>
      </c>
      <c r="H46" s="43">
        <v>1356</v>
      </c>
      <c r="I46" s="43">
        <v>477</v>
      </c>
      <c r="J46" s="43">
        <v>435</v>
      </c>
      <c r="K46" s="31">
        <f t="shared" si="0"/>
        <v>10941</v>
      </c>
      <c r="L46" s="31">
        <f t="shared" si="1"/>
        <v>418.5</v>
      </c>
      <c r="M46" s="31">
        <f t="shared" si="2"/>
        <v>1155.5800000000004</v>
      </c>
      <c r="N46" s="31">
        <f t="shared" si="3"/>
        <v>8491.08</v>
      </c>
      <c r="P46" s="1">
        <f t="shared" si="4"/>
        <v>3.8250616945434607E-2</v>
      </c>
      <c r="Q46" s="1">
        <f t="shared" si="5"/>
        <v>0.10561923041769494</v>
      </c>
      <c r="R46" s="1">
        <f t="shared" si="6"/>
        <v>0.77607896901562923</v>
      </c>
    </row>
    <row r="47" spans="1:18" x14ac:dyDescent="0.3">
      <c r="A47" s="42">
        <v>43358</v>
      </c>
      <c r="B47" s="11">
        <v>353</v>
      </c>
      <c r="C47" s="43">
        <v>121</v>
      </c>
      <c r="D47" s="11">
        <v>703</v>
      </c>
      <c r="E47" s="43">
        <v>1395</v>
      </c>
      <c r="F47" s="43">
        <v>2366</v>
      </c>
      <c r="G47" s="43">
        <v>3662</v>
      </c>
      <c r="H47" s="43">
        <v>1413</v>
      </c>
      <c r="I47" s="43">
        <v>516</v>
      </c>
      <c r="J47" s="43">
        <v>420</v>
      </c>
      <c r="K47" s="31">
        <f t="shared" si="0"/>
        <v>10949</v>
      </c>
      <c r="L47" s="31">
        <f t="shared" si="1"/>
        <v>408.66</v>
      </c>
      <c r="M47" s="31">
        <f t="shared" si="2"/>
        <v>1075.2400000000005</v>
      </c>
      <c r="N47" s="31">
        <f t="shared" si="3"/>
        <v>8683.9000000000015</v>
      </c>
      <c r="P47" s="1">
        <f t="shared" si="4"/>
        <v>3.7323956525710113E-2</v>
      </c>
      <c r="Q47" s="1">
        <f t="shared" si="5"/>
        <v>9.8204402228514065E-2</v>
      </c>
      <c r="R47" s="1">
        <f t="shared" si="6"/>
        <v>0.79312265960361694</v>
      </c>
    </row>
    <row r="48" spans="1:18" x14ac:dyDescent="0.3">
      <c r="A48" s="42">
        <v>43388</v>
      </c>
      <c r="B48" s="11">
        <v>332</v>
      </c>
      <c r="C48" s="43">
        <v>121</v>
      </c>
      <c r="D48" s="11">
        <v>685</v>
      </c>
      <c r="E48" s="43">
        <v>1436</v>
      </c>
      <c r="F48" s="43">
        <v>2189</v>
      </c>
      <c r="G48" s="43">
        <v>3758</v>
      </c>
      <c r="H48" s="43">
        <v>1500</v>
      </c>
      <c r="I48" s="43">
        <v>533</v>
      </c>
      <c r="J48" s="43">
        <v>448</v>
      </c>
      <c r="K48" s="31">
        <f t="shared" si="0"/>
        <v>11002</v>
      </c>
      <c r="L48" s="31">
        <f t="shared" si="1"/>
        <v>387.66</v>
      </c>
      <c r="M48" s="31">
        <f t="shared" si="2"/>
        <v>1066.2600000000004</v>
      </c>
      <c r="N48" s="31">
        <f t="shared" si="3"/>
        <v>8743.92</v>
      </c>
      <c r="P48" s="1">
        <f t="shared" si="4"/>
        <v>3.52354117433194E-2</v>
      </c>
      <c r="Q48" s="1">
        <f t="shared" si="5"/>
        <v>9.6915106344301075E-2</v>
      </c>
      <c r="R48" s="1">
        <f t="shared" si="6"/>
        <v>0.79475731685148154</v>
      </c>
    </row>
    <row r="49" spans="1:18" x14ac:dyDescent="0.3">
      <c r="A49" s="42">
        <v>43419</v>
      </c>
      <c r="B49" s="11">
        <v>352</v>
      </c>
      <c r="C49" s="43">
        <v>120</v>
      </c>
      <c r="D49" s="11">
        <v>653</v>
      </c>
      <c r="E49" s="43">
        <v>1582</v>
      </c>
      <c r="F49" s="43">
        <v>2214</v>
      </c>
      <c r="G49" s="43">
        <v>3893</v>
      </c>
      <c r="H49" s="43">
        <v>1601</v>
      </c>
      <c r="I49" s="43">
        <v>541</v>
      </c>
      <c r="J49" s="43">
        <v>435</v>
      </c>
      <c r="K49" s="31">
        <f t="shared" si="0"/>
        <v>11391</v>
      </c>
      <c r="L49" s="31">
        <f t="shared" si="1"/>
        <v>407.20000000000005</v>
      </c>
      <c r="M49" s="31">
        <f t="shared" si="2"/>
        <v>1065.8400000000004</v>
      </c>
      <c r="N49" s="31">
        <f t="shared" si="3"/>
        <v>9032.0400000000009</v>
      </c>
      <c r="P49" s="1">
        <f t="shared" si="4"/>
        <v>3.574751997190765E-2</v>
      </c>
      <c r="Q49" s="1">
        <f t="shared" si="5"/>
        <v>9.3568606794838069E-2</v>
      </c>
      <c r="R49" s="1">
        <f t="shared" si="6"/>
        <v>0.79291019225704507</v>
      </c>
    </row>
    <row r="50" spans="1:18" x14ac:dyDescent="0.3">
      <c r="A50" s="42">
        <v>43449</v>
      </c>
      <c r="B50" s="11">
        <v>322</v>
      </c>
      <c r="C50" s="43">
        <v>119</v>
      </c>
      <c r="D50" s="11">
        <v>698</v>
      </c>
      <c r="E50" s="43">
        <v>1544</v>
      </c>
      <c r="F50" s="43">
        <v>2149</v>
      </c>
      <c r="G50" s="43">
        <v>3884</v>
      </c>
      <c r="H50" s="43">
        <v>1715</v>
      </c>
      <c r="I50" s="43">
        <v>541</v>
      </c>
      <c r="J50" s="43">
        <v>489</v>
      </c>
      <c r="K50" s="31">
        <f t="shared" si="0"/>
        <v>11461</v>
      </c>
      <c r="L50" s="31">
        <f t="shared" si="1"/>
        <v>376.74</v>
      </c>
      <c r="M50" s="31">
        <f t="shared" si="2"/>
        <v>1101.9400000000005</v>
      </c>
      <c r="N50" s="31">
        <f t="shared" si="3"/>
        <v>9117.68</v>
      </c>
      <c r="P50" s="1">
        <f t="shared" si="4"/>
        <v>3.2871477183491843E-2</v>
      </c>
      <c r="Q50" s="1">
        <f t="shared" si="5"/>
        <v>9.6146933077392943E-2</v>
      </c>
      <c r="R50" s="1">
        <f t="shared" si="6"/>
        <v>0.7955396562254603</v>
      </c>
    </row>
    <row r="51" spans="1:18" x14ac:dyDescent="0.3">
      <c r="A51" s="42">
        <v>43480</v>
      </c>
      <c r="B51" s="11">
        <v>354</v>
      </c>
      <c r="C51" s="43">
        <v>114</v>
      </c>
      <c r="D51" s="11">
        <v>661</v>
      </c>
      <c r="E51" s="43">
        <v>1535</v>
      </c>
      <c r="F51" s="43">
        <v>2158</v>
      </c>
      <c r="G51" s="43">
        <v>3790</v>
      </c>
      <c r="H51" s="43">
        <v>1718</v>
      </c>
      <c r="I51" s="43">
        <v>542</v>
      </c>
      <c r="J51" s="43">
        <v>476</v>
      </c>
      <c r="K51" s="31">
        <f t="shared" si="0"/>
        <v>11348</v>
      </c>
      <c r="L51" s="31">
        <f t="shared" si="1"/>
        <v>406.44</v>
      </c>
      <c r="M51" s="31">
        <f t="shared" si="2"/>
        <v>1060.2600000000004</v>
      </c>
      <c r="N51" s="31">
        <f t="shared" si="3"/>
        <v>9021.7000000000007</v>
      </c>
      <c r="P51" s="1">
        <f t="shared" si="4"/>
        <v>3.5816002819880156E-2</v>
      </c>
      <c r="Q51" s="1">
        <f t="shared" si="5"/>
        <v>9.3431441663729325E-2</v>
      </c>
      <c r="R51" s="1">
        <f t="shared" si="6"/>
        <v>0.79500352485019388</v>
      </c>
    </row>
    <row r="52" spans="1:18" x14ac:dyDescent="0.3">
      <c r="A52" s="42">
        <v>43511</v>
      </c>
      <c r="B52" s="11">
        <v>354</v>
      </c>
      <c r="C52" s="43">
        <v>126</v>
      </c>
      <c r="D52" s="11">
        <v>644</v>
      </c>
      <c r="E52" s="43">
        <v>1409</v>
      </c>
      <c r="F52" s="43">
        <v>2262</v>
      </c>
      <c r="G52" s="43">
        <v>3681</v>
      </c>
      <c r="H52" s="43">
        <v>1680</v>
      </c>
      <c r="I52" s="43">
        <v>585</v>
      </c>
      <c r="J52" s="43">
        <v>420</v>
      </c>
      <c r="K52" s="31">
        <f t="shared" si="0"/>
        <v>11161</v>
      </c>
      <c r="L52" s="31">
        <f t="shared" si="1"/>
        <v>411.96000000000004</v>
      </c>
      <c r="M52" s="31">
        <f t="shared" si="2"/>
        <v>1022.0200000000003</v>
      </c>
      <c r="N52" s="31">
        <f t="shared" si="3"/>
        <v>8937.98</v>
      </c>
      <c r="P52" s="1">
        <f t="shared" si="4"/>
        <v>3.6910671086820182E-2</v>
      </c>
      <c r="Q52" s="1">
        <f t="shared" si="5"/>
        <v>9.1570647791416562E-2</v>
      </c>
      <c r="R52" s="1">
        <f t="shared" si="6"/>
        <v>0.80082250694382218</v>
      </c>
    </row>
    <row r="53" spans="1:18" x14ac:dyDescent="0.3">
      <c r="A53" s="42">
        <v>43539</v>
      </c>
      <c r="B53" s="11">
        <v>334</v>
      </c>
      <c r="C53" s="43">
        <v>118</v>
      </c>
      <c r="D53" s="11">
        <v>686</v>
      </c>
      <c r="E53" s="43">
        <v>1513</v>
      </c>
      <c r="F53" s="43">
        <v>2333</v>
      </c>
      <c r="G53" s="43">
        <v>3738</v>
      </c>
      <c r="H53" s="43">
        <v>1698</v>
      </c>
      <c r="I53" s="43">
        <v>556</v>
      </c>
      <c r="J53" s="43">
        <v>430</v>
      </c>
      <c r="K53" s="31">
        <f t="shared" si="0"/>
        <v>11406</v>
      </c>
      <c r="L53" s="31">
        <f t="shared" si="1"/>
        <v>388.28000000000003</v>
      </c>
      <c r="M53" s="31">
        <f t="shared" si="2"/>
        <v>1082.5800000000004</v>
      </c>
      <c r="N53" s="31">
        <f t="shared" si="3"/>
        <v>9087.86</v>
      </c>
      <c r="P53" s="1">
        <f t="shared" si="4"/>
        <v>3.4041732421532529E-2</v>
      </c>
      <c r="Q53" s="1">
        <f t="shared" si="5"/>
        <v>9.4913203577064731E-2</v>
      </c>
      <c r="R53" s="1">
        <f t="shared" si="6"/>
        <v>0.7967613536735052</v>
      </c>
    </row>
    <row r="54" spans="1:18" x14ac:dyDescent="0.3">
      <c r="A54" s="42">
        <v>43570</v>
      </c>
      <c r="B54" s="11">
        <v>354</v>
      </c>
      <c r="C54" s="43">
        <v>137</v>
      </c>
      <c r="D54" s="11">
        <v>737</v>
      </c>
      <c r="E54" s="43">
        <v>1523</v>
      </c>
      <c r="F54" s="43">
        <v>2331</v>
      </c>
      <c r="G54" s="43">
        <v>3884</v>
      </c>
      <c r="H54" s="43">
        <v>1717</v>
      </c>
      <c r="I54" s="43">
        <v>502</v>
      </c>
      <c r="J54" s="43">
        <v>459</v>
      </c>
      <c r="K54" s="31">
        <f t="shared" si="0"/>
        <v>11644</v>
      </c>
      <c r="L54" s="31">
        <f t="shared" si="1"/>
        <v>417.02000000000004</v>
      </c>
      <c r="M54" s="31">
        <f t="shared" si="2"/>
        <v>1146.0400000000004</v>
      </c>
      <c r="N54" s="31">
        <f t="shared" si="3"/>
        <v>9228.0600000000013</v>
      </c>
      <c r="P54" s="1">
        <f t="shared" si="4"/>
        <v>3.5814153211954657E-2</v>
      </c>
      <c r="Q54" s="1">
        <f t="shared" si="5"/>
        <v>9.8423222260391657E-2</v>
      </c>
      <c r="R54" s="1">
        <f t="shared" si="6"/>
        <v>0.79251631741669537</v>
      </c>
    </row>
    <row r="55" spans="1:18" x14ac:dyDescent="0.3">
      <c r="A55" s="42">
        <v>43600</v>
      </c>
      <c r="B55" s="11">
        <v>348</v>
      </c>
      <c r="C55" s="43">
        <v>125</v>
      </c>
      <c r="D55" s="11">
        <v>836</v>
      </c>
      <c r="E55" s="43">
        <v>1391</v>
      </c>
      <c r="F55" s="43">
        <v>2423</v>
      </c>
      <c r="G55" s="43">
        <v>3913</v>
      </c>
      <c r="H55" s="43">
        <v>1775</v>
      </c>
      <c r="I55" s="43">
        <v>480</v>
      </c>
      <c r="J55" s="43">
        <v>363</v>
      </c>
      <c r="K55" s="31">
        <f t="shared" si="0"/>
        <v>11654</v>
      </c>
      <c r="L55" s="31">
        <f t="shared" si="1"/>
        <v>405.5</v>
      </c>
      <c r="M55" s="31">
        <f t="shared" si="2"/>
        <v>1209.5200000000004</v>
      </c>
      <c r="N55" s="31">
        <f t="shared" si="3"/>
        <v>9260.02</v>
      </c>
      <c r="P55" s="1">
        <f t="shared" si="4"/>
        <v>3.4794920199073279E-2</v>
      </c>
      <c r="Q55" s="1">
        <f t="shared" si="5"/>
        <v>0.10378582460957615</v>
      </c>
      <c r="R55" s="1">
        <f t="shared" si="6"/>
        <v>0.7945786854298954</v>
      </c>
    </row>
    <row r="56" spans="1:18" x14ac:dyDescent="0.3">
      <c r="A56" s="42">
        <v>43631</v>
      </c>
      <c r="B56" s="11">
        <v>337</v>
      </c>
      <c r="C56" s="43">
        <v>132</v>
      </c>
      <c r="D56" s="11">
        <v>903</v>
      </c>
      <c r="E56" s="43">
        <v>1332</v>
      </c>
      <c r="F56" s="43">
        <v>2600</v>
      </c>
      <c r="G56" s="43">
        <v>3827</v>
      </c>
      <c r="H56" s="43">
        <v>1765</v>
      </c>
      <c r="I56" s="43">
        <v>459</v>
      </c>
      <c r="J56" s="43">
        <v>394</v>
      </c>
      <c r="K56" s="31">
        <f t="shared" si="0"/>
        <v>11749</v>
      </c>
      <c r="L56" s="31">
        <f t="shared" si="1"/>
        <v>397.72</v>
      </c>
      <c r="M56" s="31">
        <f t="shared" si="2"/>
        <v>1267.3200000000004</v>
      </c>
      <c r="N56" s="31">
        <f t="shared" si="3"/>
        <v>9338.0400000000009</v>
      </c>
      <c r="P56" s="1">
        <f t="shared" si="4"/>
        <v>3.3851391607796412E-2</v>
      </c>
      <c r="Q56" s="1">
        <f t="shared" si="5"/>
        <v>0.10786620137884079</v>
      </c>
      <c r="R56" s="1">
        <f t="shared" si="6"/>
        <v>0.79479445059153975</v>
      </c>
    </row>
    <row r="57" spans="1:18" x14ac:dyDescent="0.3">
      <c r="A57" s="42">
        <v>43661</v>
      </c>
      <c r="B57" s="11">
        <v>331</v>
      </c>
      <c r="C57" s="43">
        <v>140</v>
      </c>
      <c r="D57" s="11">
        <v>669</v>
      </c>
      <c r="E57" s="43">
        <v>1259</v>
      </c>
      <c r="F57" s="43">
        <v>2556</v>
      </c>
      <c r="G57" s="43">
        <v>3845</v>
      </c>
      <c r="H57" s="43">
        <v>1802</v>
      </c>
      <c r="I57" s="43">
        <v>493</v>
      </c>
      <c r="J57" s="43">
        <v>350</v>
      </c>
      <c r="K57" s="31">
        <f t="shared" si="0"/>
        <v>11445</v>
      </c>
      <c r="L57" s="31">
        <f t="shared" si="1"/>
        <v>395.40000000000003</v>
      </c>
      <c r="M57" s="31">
        <f t="shared" si="2"/>
        <v>1021.5800000000004</v>
      </c>
      <c r="N57" s="31">
        <f t="shared" si="3"/>
        <v>9322.98</v>
      </c>
      <c r="P57" s="1">
        <f t="shared" si="4"/>
        <v>3.4547837483617304E-2</v>
      </c>
      <c r="Q57" s="1">
        <f t="shared" si="5"/>
        <v>8.9259938837920522E-2</v>
      </c>
      <c r="R57" s="1">
        <f t="shared" si="6"/>
        <v>0.81458977719528169</v>
      </c>
    </row>
    <row r="58" spans="1:18" x14ac:dyDescent="0.3">
      <c r="A58" s="42">
        <v>43692</v>
      </c>
      <c r="B58" s="11">
        <v>341</v>
      </c>
      <c r="C58" s="43">
        <v>146</v>
      </c>
      <c r="D58" s="11">
        <v>819</v>
      </c>
      <c r="E58" s="43">
        <v>1519</v>
      </c>
      <c r="F58" s="43">
        <v>2550</v>
      </c>
      <c r="G58" s="43">
        <v>3977</v>
      </c>
      <c r="H58" s="43">
        <v>1874</v>
      </c>
      <c r="I58" s="43">
        <v>505</v>
      </c>
      <c r="J58" s="43">
        <v>365</v>
      </c>
      <c r="K58" s="31">
        <f t="shared" si="0"/>
        <v>12096</v>
      </c>
      <c r="L58" s="31">
        <f t="shared" si="1"/>
        <v>408.16</v>
      </c>
      <c r="M58" s="31">
        <f t="shared" si="2"/>
        <v>1232.0200000000004</v>
      </c>
      <c r="N58" s="31">
        <f t="shared" si="3"/>
        <v>9605.18</v>
      </c>
      <c r="P58" s="1">
        <f t="shared" si="4"/>
        <v>3.3743386243386249E-2</v>
      </c>
      <c r="Q58" s="1">
        <f t="shared" si="5"/>
        <v>0.10185350529100533</v>
      </c>
      <c r="R58" s="1">
        <f t="shared" si="6"/>
        <v>0.79407903439153438</v>
      </c>
    </row>
    <row r="59" spans="1:18" x14ac:dyDescent="0.3">
      <c r="A59" s="42">
        <v>43723</v>
      </c>
      <c r="B59" s="11">
        <v>353</v>
      </c>
      <c r="C59" s="43">
        <v>149</v>
      </c>
      <c r="D59" s="11">
        <v>784</v>
      </c>
      <c r="E59" s="43">
        <v>1381</v>
      </c>
      <c r="F59" s="43">
        <v>2602</v>
      </c>
      <c r="G59" s="43">
        <v>4019</v>
      </c>
      <c r="H59" s="43">
        <v>1949</v>
      </c>
      <c r="I59" s="43">
        <v>512</v>
      </c>
      <c r="J59" s="43">
        <v>381</v>
      </c>
      <c r="K59" s="31">
        <f t="shared" si="0"/>
        <v>12130</v>
      </c>
      <c r="L59" s="31">
        <f t="shared" si="1"/>
        <v>421.54</v>
      </c>
      <c r="M59" s="31">
        <f t="shared" si="2"/>
        <v>1168.2800000000004</v>
      </c>
      <c r="N59" s="31">
        <f t="shared" si="3"/>
        <v>9766.82</v>
      </c>
      <c r="P59" s="1">
        <f t="shared" si="4"/>
        <v>3.4751854905193738E-2</v>
      </c>
      <c r="Q59" s="1">
        <f t="shared" si="5"/>
        <v>9.6313272877164097E-2</v>
      </c>
      <c r="R59" s="1">
        <f t="shared" si="6"/>
        <v>0.80517889530090681</v>
      </c>
    </row>
    <row r="60" spans="1:18" x14ac:dyDescent="0.3">
      <c r="A60" s="42">
        <v>43753</v>
      </c>
      <c r="B60" s="11">
        <v>354</v>
      </c>
      <c r="C60" s="43">
        <v>149</v>
      </c>
      <c r="D60" s="11">
        <v>736</v>
      </c>
      <c r="E60" s="43">
        <v>1399</v>
      </c>
      <c r="F60" s="43">
        <v>2521</v>
      </c>
      <c r="G60" s="43">
        <v>4125</v>
      </c>
      <c r="H60" s="43">
        <v>2019</v>
      </c>
      <c r="I60" s="43">
        <v>538</v>
      </c>
      <c r="J60" s="43">
        <v>463</v>
      </c>
      <c r="K60" s="31">
        <f t="shared" si="0"/>
        <v>12304</v>
      </c>
      <c r="L60" s="31">
        <f t="shared" si="1"/>
        <v>422.54</v>
      </c>
      <c r="M60" s="31">
        <f t="shared" si="2"/>
        <v>1124.2400000000005</v>
      </c>
      <c r="N60" s="31">
        <f t="shared" si="3"/>
        <v>9973.7800000000007</v>
      </c>
      <c r="P60" s="1">
        <f t="shared" si="4"/>
        <v>3.4341677503250977E-2</v>
      </c>
      <c r="Q60" s="1">
        <f t="shared" si="5"/>
        <v>9.1371911573472075E-2</v>
      </c>
      <c r="R60" s="1">
        <f t="shared" si="6"/>
        <v>0.81061280884265285</v>
      </c>
    </row>
    <row r="61" spans="1:18" x14ac:dyDescent="0.3">
      <c r="A61" s="42">
        <v>43784</v>
      </c>
      <c r="B61" s="11">
        <v>362</v>
      </c>
      <c r="C61" s="43">
        <v>137</v>
      </c>
      <c r="D61" s="11">
        <v>818</v>
      </c>
      <c r="E61" s="43">
        <v>1374</v>
      </c>
      <c r="F61" s="43">
        <v>2558</v>
      </c>
      <c r="G61" s="43">
        <v>4075</v>
      </c>
      <c r="H61" s="43">
        <v>1991</v>
      </c>
      <c r="I61" s="43">
        <v>732</v>
      </c>
      <c r="J61" s="43">
        <v>457</v>
      </c>
      <c r="K61" s="31">
        <f t="shared" si="0"/>
        <v>12504</v>
      </c>
      <c r="L61" s="31">
        <f t="shared" si="1"/>
        <v>425.02000000000004</v>
      </c>
      <c r="M61" s="31">
        <f t="shared" si="2"/>
        <v>1194.2600000000004</v>
      </c>
      <c r="N61" s="31">
        <f>E61*(31.1-30)/5+F61+G61+H61+I61+J61</f>
        <v>10115.280000000001</v>
      </c>
      <c r="P61" s="1">
        <f t="shared" si="4"/>
        <v>3.3990722968650036E-2</v>
      </c>
      <c r="Q61" s="1">
        <f t="shared" si="5"/>
        <v>9.5510236724248271E-2</v>
      </c>
      <c r="R61" s="1">
        <f t="shared" si="6"/>
        <v>0.80896353166986568</v>
      </c>
    </row>
    <row r="62" spans="1:18" x14ac:dyDescent="0.3">
      <c r="A62" s="42">
        <v>43814</v>
      </c>
      <c r="B62" s="11">
        <v>346</v>
      </c>
      <c r="C62" s="43">
        <v>171</v>
      </c>
      <c r="D62" s="11">
        <v>809</v>
      </c>
      <c r="E62" s="43">
        <v>1404</v>
      </c>
      <c r="F62" s="43">
        <v>2548</v>
      </c>
      <c r="G62" s="43">
        <v>3946</v>
      </c>
      <c r="H62" s="43">
        <v>2199</v>
      </c>
      <c r="I62" s="43">
        <v>594</v>
      </c>
      <c r="J62" s="43">
        <v>469</v>
      </c>
      <c r="K62" s="31">
        <f t="shared" si="0"/>
        <v>12486</v>
      </c>
      <c r="L62" s="31">
        <f t="shared" si="1"/>
        <v>424.66</v>
      </c>
      <c r="M62" s="31">
        <f t="shared" si="2"/>
        <v>1210.2200000000003</v>
      </c>
      <c r="N62" s="31">
        <f t="shared" si="3"/>
        <v>10064.880000000001</v>
      </c>
      <c r="P62" s="1">
        <f t="shared" si="4"/>
        <v>3.4010892199263176E-2</v>
      </c>
      <c r="Q62" s="1">
        <f t="shared" si="5"/>
        <v>9.6926157296171739E-2</v>
      </c>
      <c r="R62" s="1">
        <f t="shared" si="6"/>
        <v>0.80609322441134079</v>
      </c>
    </row>
    <row r="63" spans="1:18" x14ac:dyDescent="0.3">
      <c r="A63" s="42">
        <v>43845</v>
      </c>
      <c r="B63" s="11">
        <v>344</v>
      </c>
      <c r="C63" s="43">
        <v>146</v>
      </c>
      <c r="D63" s="11">
        <v>858</v>
      </c>
      <c r="E63" s="43">
        <v>1277</v>
      </c>
      <c r="F63" s="43">
        <v>2531</v>
      </c>
      <c r="G63" s="43">
        <v>3967</v>
      </c>
      <c r="H63" s="43">
        <v>2146</v>
      </c>
      <c r="I63" s="43">
        <v>594</v>
      </c>
      <c r="J63" s="43">
        <v>494</v>
      </c>
      <c r="K63" s="31">
        <f t="shared" si="0"/>
        <v>12357</v>
      </c>
      <c r="L63" s="31">
        <f t="shared" si="1"/>
        <v>411.16</v>
      </c>
      <c r="M63" s="31">
        <f t="shared" si="2"/>
        <v>1217.7800000000002</v>
      </c>
      <c r="N63" s="31">
        <f t="shared" si="3"/>
        <v>10012.94</v>
      </c>
      <c r="P63" s="1">
        <f t="shared" si="4"/>
        <v>3.3273448247956625E-2</v>
      </c>
      <c r="Q63" s="1">
        <f t="shared" si="5"/>
        <v>9.8549809824391044E-2</v>
      </c>
      <c r="R63" s="1">
        <f t="shared" si="6"/>
        <v>0.81030509023225705</v>
      </c>
    </row>
    <row r="64" spans="1:18" x14ac:dyDescent="0.3">
      <c r="A64" s="42">
        <v>43876</v>
      </c>
      <c r="B64" s="11">
        <v>354</v>
      </c>
      <c r="C64" s="43">
        <v>179</v>
      </c>
      <c r="D64" s="11">
        <v>819</v>
      </c>
      <c r="E64" s="43">
        <v>1258</v>
      </c>
      <c r="F64" s="43">
        <v>2478</v>
      </c>
      <c r="G64" s="43">
        <v>3983</v>
      </c>
      <c r="H64" s="43">
        <v>2120</v>
      </c>
      <c r="I64" s="43">
        <v>603</v>
      </c>
      <c r="J64" s="43">
        <v>549</v>
      </c>
      <c r="K64" s="31">
        <f t="shared" si="0"/>
        <v>12343</v>
      </c>
      <c r="L64" s="31">
        <f t="shared" si="1"/>
        <v>436.34000000000003</v>
      </c>
      <c r="M64" s="31">
        <f t="shared" si="2"/>
        <v>1192.4200000000003</v>
      </c>
      <c r="N64" s="31">
        <f t="shared" si="3"/>
        <v>10009.76</v>
      </c>
      <c r="P64" s="1">
        <f t="shared" si="4"/>
        <v>3.5351211212833189E-2</v>
      </c>
      <c r="Q64" s="1">
        <f t="shared" si="5"/>
        <v>9.6606983715466277E-2</v>
      </c>
      <c r="R64" s="1">
        <f t="shared" si="6"/>
        <v>0.81096653973912336</v>
      </c>
    </row>
    <row r="65" spans="1:18" x14ac:dyDescent="0.3">
      <c r="A65" s="42">
        <v>43905</v>
      </c>
      <c r="B65" s="11">
        <v>322</v>
      </c>
      <c r="C65" s="43">
        <v>124</v>
      </c>
      <c r="D65" s="11">
        <v>946</v>
      </c>
      <c r="E65" s="43">
        <v>1201</v>
      </c>
      <c r="F65" s="43">
        <v>2473</v>
      </c>
      <c r="G65" s="43">
        <v>4042</v>
      </c>
      <c r="H65" s="43">
        <v>2062</v>
      </c>
      <c r="I65" s="43">
        <v>611</v>
      </c>
      <c r="J65" s="43">
        <v>539</v>
      </c>
      <c r="K65" s="31">
        <f t="shared" si="0"/>
        <v>12320</v>
      </c>
      <c r="L65" s="31">
        <f t="shared" si="1"/>
        <v>379.04</v>
      </c>
      <c r="M65" s="31">
        <f t="shared" si="2"/>
        <v>1277.1800000000003</v>
      </c>
      <c r="N65" s="31">
        <f t="shared" si="3"/>
        <v>9991.2200000000012</v>
      </c>
      <c r="P65" s="1">
        <f t="shared" si="4"/>
        <v>3.0766233766233768E-2</v>
      </c>
      <c r="Q65" s="1">
        <f t="shared" si="5"/>
        <v>0.10366720779220781</v>
      </c>
      <c r="R65" s="1">
        <f t="shared" si="6"/>
        <v>0.81097564935064947</v>
      </c>
    </row>
    <row r="66" spans="1:18" x14ac:dyDescent="0.3">
      <c r="A66" s="42">
        <v>43936</v>
      </c>
      <c r="B66" s="11">
        <v>338</v>
      </c>
      <c r="C66" s="43">
        <v>99</v>
      </c>
      <c r="D66" s="11">
        <v>810</v>
      </c>
      <c r="E66" s="43">
        <v>1253</v>
      </c>
      <c r="F66" s="43">
        <v>2393</v>
      </c>
      <c r="G66" s="43">
        <v>3582</v>
      </c>
      <c r="H66" s="43">
        <v>1953</v>
      </c>
      <c r="I66" s="43">
        <v>537</v>
      </c>
      <c r="J66" s="43">
        <v>473</v>
      </c>
      <c r="K66" s="31">
        <f t="shared" si="0"/>
        <v>11438</v>
      </c>
      <c r="L66" s="31">
        <f t="shared" si="1"/>
        <v>383.54</v>
      </c>
      <c r="M66" s="31">
        <f t="shared" si="2"/>
        <v>1139.1200000000003</v>
      </c>
      <c r="N66" s="31">
        <f t="shared" si="3"/>
        <v>9213.66</v>
      </c>
      <c r="P66" s="1">
        <f t="shared" si="4"/>
        <v>3.3532086029026055E-2</v>
      </c>
      <c r="Q66" s="1">
        <f t="shared" si="5"/>
        <v>9.9590837559013851E-2</v>
      </c>
      <c r="R66" s="1">
        <f t="shared" si="6"/>
        <v>0.80553068718307397</v>
      </c>
    </row>
    <row r="67" spans="1:18" x14ac:dyDescent="0.3">
      <c r="A67" s="42">
        <v>43966</v>
      </c>
      <c r="B67" s="11">
        <v>323</v>
      </c>
      <c r="C67" s="43">
        <v>76</v>
      </c>
      <c r="D67" s="11">
        <v>846</v>
      </c>
      <c r="E67" s="43">
        <v>931</v>
      </c>
      <c r="F67" s="43">
        <v>2074</v>
      </c>
      <c r="G67" s="43">
        <v>2819</v>
      </c>
      <c r="H67" s="43">
        <v>1446</v>
      </c>
      <c r="I67" s="43">
        <v>420</v>
      </c>
      <c r="J67" s="43">
        <v>372</v>
      </c>
      <c r="K67" s="31">
        <f t="shared" si="0"/>
        <v>9307</v>
      </c>
      <c r="L67" s="31">
        <f t="shared" si="1"/>
        <v>357.96000000000004</v>
      </c>
      <c r="M67" s="31">
        <f t="shared" si="2"/>
        <v>1091.8600000000001</v>
      </c>
      <c r="N67" s="31">
        <f t="shared" si="3"/>
        <v>7335.82</v>
      </c>
      <c r="P67" s="1">
        <f t="shared" si="4"/>
        <v>3.8461373159987107E-2</v>
      </c>
      <c r="Q67" s="1">
        <f t="shared" si="5"/>
        <v>0.11731599871064791</v>
      </c>
      <c r="R67" s="1">
        <f t="shared" si="6"/>
        <v>0.78820457719995696</v>
      </c>
    </row>
    <row r="68" spans="1:18" x14ac:dyDescent="0.3">
      <c r="A68" s="42">
        <v>43997</v>
      </c>
      <c r="B68" s="11">
        <v>345</v>
      </c>
      <c r="C68" s="43">
        <v>99</v>
      </c>
      <c r="D68" s="11">
        <v>784</v>
      </c>
      <c r="E68" s="43">
        <v>1039</v>
      </c>
      <c r="F68" s="43">
        <v>2255</v>
      </c>
      <c r="G68" s="43">
        <v>3225</v>
      </c>
      <c r="H68" s="43">
        <v>1582</v>
      </c>
      <c r="I68" s="43">
        <v>367</v>
      </c>
      <c r="J68" s="43">
        <v>382</v>
      </c>
      <c r="K68" s="31">
        <f t="shared" ref="K68:K112" si="7">SUM(B68:J68)</f>
        <v>10078</v>
      </c>
      <c r="L68" s="31">
        <f t="shared" ref="L68:L112" si="8">B68+C68*(22.3-20)/5</f>
        <v>390.54</v>
      </c>
      <c r="M68" s="31">
        <f t="shared" ref="M68:M112" si="9">C68*(25-22.3)/5+D68+E68*(31.1-30)/5</f>
        <v>1066.0400000000004</v>
      </c>
      <c r="N68" s="31">
        <f t="shared" ref="N68:N112" si="10">E68*(31.1-30)/5+F68+G68+H68+I68+J68</f>
        <v>8039.58</v>
      </c>
      <c r="P68" s="1">
        <f t="shared" ref="P68:P112" si="11">L68/K68</f>
        <v>3.875173645564596E-2</v>
      </c>
      <c r="Q68" s="1">
        <f t="shared" ref="Q68:Q112" si="12">M68/K68</f>
        <v>0.10577892438975992</v>
      </c>
      <c r="R68" s="1">
        <f t="shared" ref="R68:R112" si="13">N68/K68</f>
        <v>0.7977356618376662</v>
      </c>
    </row>
    <row r="69" spans="1:18" x14ac:dyDescent="0.3">
      <c r="A69" s="42">
        <v>44027</v>
      </c>
      <c r="B69" s="11">
        <v>332</v>
      </c>
      <c r="C69" s="43">
        <v>113</v>
      </c>
      <c r="D69" s="11">
        <v>836</v>
      </c>
      <c r="E69" s="43">
        <v>1112</v>
      </c>
      <c r="F69" s="43">
        <v>2325</v>
      </c>
      <c r="G69" s="43">
        <v>3224</v>
      </c>
      <c r="H69" s="43">
        <v>1695</v>
      </c>
      <c r="I69" s="43">
        <v>538</v>
      </c>
      <c r="J69" s="43">
        <v>385</v>
      </c>
      <c r="K69" s="31">
        <f t="shared" si="7"/>
        <v>10560</v>
      </c>
      <c r="L69" s="31">
        <f t="shared" si="8"/>
        <v>383.98</v>
      </c>
      <c r="M69" s="31">
        <f t="shared" si="9"/>
        <v>1141.6600000000003</v>
      </c>
      <c r="N69" s="31">
        <f t="shared" si="10"/>
        <v>8411.64</v>
      </c>
      <c r="P69" s="1">
        <f t="shared" si="11"/>
        <v>3.6361742424242428E-2</v>
      </c>
      <c r="Q69" s="1">
        <f t="shared" si="12"/>
        <v>0.10811174242424246</v>
      </c>
      <c r="R69" s="1">
        <f t="shared" si="13"/>
        <v>0.79655681818181812</v>
      </c>
    </row>
    <row r="70" spans="1:18" x14ac:dyDescent="0.3">
      <c r="A70" s="42">
        <v>44058</v>
      </c>
      <c r="B70" s="11">
        <v>313</v>
      </c>
      <c r="C70" s="43">
        <v>103</v>
      </c>
      <c r="D70" s="11">
        <v>665</v>
      </c>
      <c r="E70" s="43">
        <v>852</v>
      </c>
      <c r="F70" s="43">
        <v>2246</v>
      </c>
      <c r="G70" s="43">
        <v>3269</v>
      </c>
      <c r="H70" s="43">
        <v>1774</v>
      </c>
      <c r="I70" s="43">
        <v>515</v>
      </c>
      <c r="J70" s="43">
        <v>400</v>
      </c>
      <c r="K70" s="31">
        <f t="shared" si="7"/>
        <v>10137</v>
      </c>
      <c r="L70" s="31">
        <f t="shared" si="8"/>
        <v>360.38</v>
      </c>
      <c r="M70" s="31">
        <f t="shared" si="9"/>
        <v>908.06000000000017</v>
      </c>
      <c r="N70" s="31">
        <f t="shared" si="10"/>
        <v>8391.44</v>
      </c>
      <c r="P70" s="1">
        <f t="shared" si="11"/>
        <v>3.5550951958173031E-2</v>
      </c>
      <c r="Q70" s="1">
        <f t="shared" si="12"/>
        <v>8.9578770839498889E-2</v>
      </c>
      <c r="R70" s="1">
        <f t="shared" si="13"/>
        <v>0.82780309756338177</v>
      </c>
    </row>
    <row r="71" spans="1:18" x14ac:dyDescent="0.3">
      <c r="A71" s="42">
        <v>44089</v>
      </c>
      <c r="B71" s="11">
        <v>325</v>
      </c>
      <c r="C71" s="43">
        <v>112</v>
      </c>
      <c r="D71" s="11">
        <v>847</v>
      </c>
      <c r="E71" s="43">
        <v>984</v>
      </c>
      <c r="F71" s="43">
        <v>2182</v>
      </c>
      <c r="G71" s="43">
        <v>3295</v>
      </c>
      <c r="H71" s="43">
        <v>1801</v>
      </c>
      <c r="I71" s="43">
        <v>566</v>
      </c>
      <c r="J71" s="43">
        <v>375</v>
      </c>
      <c r="K71" s="31">
        <f t="shared" si="7"/>
        <v>10487</v>
      </c>
      <c r="L71" s="31">
        <f t="shared" si="8"/>
        <v>376.52000000000004</v>
      </c>
      <c r="M71" s="31">
        <f t="shared" si="9"/>
        <v>1123.9600000000003</v>
      </c>
      <c r="N71" s="31">
        <f t="shared" si="10"/>
        <v>8435.48</v>
      </c>
      <c r="P71" s="1">
        <f t="shared" si="11"/>
        <v>3.5903499570897307E-2</v>
      </c>
      <c r="Q71" s="1">
        <f t="shared" si="12"/>
        <v>0.10717650424334893</v>
      </c>
      <c r="R71" s="1">
        <f t="shared" si="13"/>
        <v>0.80437494040240298</v>
      </c>
    </row>
    <row r="72" spans="1:18" x14ac:dyDescent="0.3">
      <c r="A72" s="42">
        <v>44119</v>
      </c>
      <c r="B72" s="11">
        <v>321</v>
      </c>
      <c r="C72" s="43">
        <v>97</v>
      </c>
      <c r="D72" s="11">
        <v>531</v>
      </c>
      <c r="E72" s="43">
        <v>747</v>
      </c>
      <c r="F72" s="43">
        <v>2208</v>
      </c>
      <c r="G72" s="43">
        <v>3308</v>
      </c>
      <c r="H72" s="43">
        <v>1813</v>
      </c>
      <c r="I72" s="43">
        <v>617</v>
      </c>
      <c r="J72" s="43">
        <v>363</v>
      </c>
      <c r="K72" s="31">
        <f t="shared" si="7"/>
        <v>10005</v>
      </c>
      <c r="L72" s="31">
        <f t="shared" si="8"/>
        <v>365.62</v>
      </c>
      <c r="M72" s="31">
        <f t="shared" si="9"/>
        <v>747.72000000000025</v>
      </c>
      <c r="N72" s="31">
        <f t="shared" si="10"/>
        <v>8473.34</v>
      </c>
      <c r="P72" s="1">
        <f t="shared" si="11"/>
        <v>3.6543728135932034E-2</v>
      </c>
      <c r="Q72" s="1">
        <f t="shared" si="12"/>
        <v>7.4734632683658195E-2</v>
      </c>
      <c r="R72" s="1">
        <f t="shared" si="13"/>
        <v>0.84691054472763616</v>
      </c>
    </row>
    <row r="73" spans="1:18" x14ac:dyDescent="0.3">
      <c r="A73" s="42">
        <v>44150</v>
      </c>
      <c r="B73" s="11">
        <v>333</v>
      </c>
      <c r="C73" s="43">
        <v>105</v>
      </c>
      <c r="D73" s="11">
        <v>753</v>
      </c>
      <c r="E73" s="43">
        <v>1161</v>
      </c>
      <c r="F73" s="43">
        <v>2110</v>
      </c>
      <c r="G73" s="43">
        <v>3396</v>
      </c>
      <c r="H73" s="43">
        <v>2021</v>
      </c>
      <c r="I73" s="43">
        <v>483</v>
      </c>
      <c r="J73" s="43">
        <v>381</v>
      </c>
      <c r="K73" s="31">
        <f t="shared" si="7"/>
        <v>10743</v>
      </c>
      <c r="L73" s="31">
        <f t="shared" si="8"/>
        <v>381.3</v>
      </c>
      <c r="M73" s="31">
        <f t="shared" si="9"/>
        <v>1065.1200000000003</v>
      </c>
      <c r="N73" s="31">
        <f t="shared" si="10"/>
        <v>8646.42</v>
      </c>
      <c r="P73" s="1">
        <f t="shared" si="11"/>
        <v>3.5492879084054733E-2</v>
      </c>
      <c r="Q73" s="1">
        <f t="shared" si="12"/>
        <v>9.9145490086568033E-2</v>
      </c>
      <c r="R73" s="1">
        <f t="shared" si="13"/>
        <v>0.8048422228427814</v>
      </c>
    </row>
    <row r="74" spans="1:18" x14ac:dyDescent="0.3">
      <c r="A74" s="42">
        <v>44180</v>
      </c>
      <c r="B74" s="11">
        <v>323</v>
      </c>
      <c r="C74" s="43">
        <v>114</v>
      </c>
      <c r="D74" s="11">
        <v>736</v>
      </c>
      <c r="E74" s="43">
        <v>1347</v>
      </c>
      <c r="F74" s="43">
        <v>1920</v>
      </c>
      <c r="G74" s="43">
        <v>3342</v>
      </c>
      <c r="H74" s="43">
        <v>1966</v>
      </c>
      <c r="I74" s="43">
        <v>557</v>
      </c>
      <c r="J74" s="43">
        <v>407</v>
      </c>
      <c r="K74" s="31">
        <f t="shared" si="7"/>
        <v>10712</v>
      </c>
      <c r="L74" s="31">
        <f t="shared" si="8"/>
        <v>375.44</v>
      </c>
      <c r="M74" s="31">
        <f t="shared" si="9"/>
        <v>1093.9000000000003</v>
      </c>
      <c r="N74" s="31">
        <f t="shared" si="10"/>
        <v>8488.34</v>
      </c>
      <c r="P74" s="1">
        <f t="shared" si="11"/>
        <v>3.5048543689320387E-2</v>
      </c>
      <c r="Q74" s="1">
        <f t="shared" si="12"/>
        <v>0.10211911874533237</v>
      </c>
      <c r="R74" s="1">
        <f t="shared" si="13"/>
        <v>0.7924141150112024</v>
      </c>
    </row>
    <row r="75" spans="1:18" x14ac:dyDescent="0.3">
      <c r="A75" s="42">
        <v>44211</v>
      </c>
      <c r="B75" s="11">
        <v>298</v>
      </c>
      <c r="C75" s="43">
        <v>116</v>
      </c>
      <c r="D75" s="11">
        <v>748</v>
      </c>
      <c r="E75" s="43">
        <v>1267</v>
      </c>
      <c r="F75" s="43">
        <v>1897</v>
      </c>
      <c r="G75" s="43">
        <v>3321</v>
      </c>
      <c r="H75" s="43">
        <v>2030</v>
      </c>
      <c r="I75" s="43">
        <v>614</v>
      </c>
      <c r="J75" s="43">
        <v>397</v>
      </c>
      <c r="K75" s="31">
        <f t="shared" si="7"/>
        <v>10688</v>
      </c>
      <c r="L75" s="31">
        <f t="shared" si="8"/>
        <v>351.36</v>
      </c>
      <c r="M75" s="31">
        <f t="shared" si="9"/>
        <v>1089.3800000000003</v>
      </c>
      <c r="N75" s="31">
        <f t="shared" si="10"/>
        <v>8537.74</v>
      </c>
      <c r="P75" s="1">
        <f t="shared" si="11"/>
        <v>3.2874251497005992E-2</v>
      </c>
      <c r="Q75" s="1">
        <f t="shared" si="12"/>
        <v>0.10192552395209584</v>
      </c>
      <c r="R75" s="1">
        <f t="shared" si="13"/>
        <v>0.79881549401197605</v>
      </c>
    </row>
    <row r="76" spans="1:18" x14ac:dyDescent="0.3">
      <c r="A76" s="42">
        <v>44242</v>
      </c>
      <c r="B76" s="11">
        <v>301</v>
      </c>
      <c r="C76" s="43">
        <v>107</v>
      </c>
      <c r="D76" s="11">
        <v>757</v>
      </c>
      <c r="E76" s="43">
        <v>1155</v>
      </c>
      <c r="F76" s="43">
        <v>1632</v>
      </c>
      <c r="G76" s="43">
        <v>2860</v>
      </c>
      <c r="H76" s="43">
        <v>1863</v>
      </c>
      <c r="I76" s="43">
        <v>442</v>
      </c>
      <c r="J76" s="43">
        <v>358</v>
      </c>
      <c r="K76" s="31">
        <f t="shared" si="7"/>
        <v>9475</v>
      </c>
      <c r="L76" s="31">
        <f t="shared" si="8"/>
        <v>350.22</v>
      </c>
      <c r="M76" s="31">
        <f t="shared" si="9"/>
        <v>1068.8800000000003</v>
      </c>
      <c r="N76" s="31">
        <f t="shared" si="10"/>
        <v>7409.1</v>
      </c>
      <c r="P76" s="1">
        <f t="shared" si="11"/>
        <v>3.6962532981530342E-2</v>
      </c>
      <c r="Q76" s="1">
        <f t="shared" si="12"/>
        <v>0.1128105540897098</v>
      </c>
      <c r="R76" s="1">
        <f t="shared" si="13"/>
        <v>0.78196306068601584</v>
      </c>
    </row>
    <row r="77" spans="1:18" x14ac:dyDescent="0.3">
      <c r="A77" s="42">
        <v>44270</v>
      </c>
      <c r="B77" s="11">
        <v>292</v>
      </c>
      <c r="C77" s="43">
        <v>95</v>
      </c>
      <c r="D77" s="11">
        <v>834</v>
      </c>
      <c r="E77" s="43">
        <v>1261</v>
      </c>
      <c r="F77" s="43">
        <v>2109</v>
      </c>
      <c r="G77" s="43">
        <v>3328</v>
      </c>
      <c r="H77" s="43">
        <v>2150</v>
      </c>
      <c r="I77" s="43">
        <v>465</v>
      </c>
      <c r="J77" s="43">
        <v>377</v>
      </c>
      <c r="K77" s="31">
        <f t="shared" si="7"/>
        <v>10911</v>
      </c>
      <c r="L77" s="31">
        <f t="shared" si="8"/>
        <v>335.7</v>
      </c>
      <c r="M77" s="31">
        <f t="shared" si="9"/>
        <v>1162.7200000000003</v>
      </c>
      <c r="N77" s="31">
        <f t="shared" si="10"/>
        <v>8706.42</v>
      </c>
      <c r="P77" s="1">
        <f t="shared" si="11"/>
        <v>3.0767115754742919E-2</v>
      </c>
      <c r="Q77" s="1">
        <f t="shared" si="12"/>
        <v>0.10656401796352308</v>
      </c>
      <c r="R77" s="1">
        <f t="shared" si="13"/>
        <v>0.79794885894968381</v>
      </c>
    </row>
    <row r="78" spans="1:18" x14ac:dyDescent="0.3">
      <c r="A78" s="42">
        <v>44301</v>
      </c>
      <c r="B78" s="11">
        <v>293</v>
      </c>
      <c r="C78" s="43">
        <v>109</v>
      </c>
      <c r="D78" s="11">
        <v>873</v>
      </c>
      <c r="E78" s="43">
        <v>1178</v>
      </c>
      <c r="F78" s="43">
        <v>2045</v>
      </c>
      <c r="G78" s="43">
        <v>3355</v>
      </c>
      <c r="H78" s="43">
        <v>2134</v>
      </c>
      <c r="I78" s="43">
        <v>525</v>
      </c>
      <c r="J78" s="43">
        <v>383</v>
      </c>
      <c r="K78" s="31">
        <f t="shared" si="7"/>
        <v>10895</v>
      </c>
      <c r="L78" s="31">
        <f t="shared" si="8"/>
        <v>343.14</v>
      </c>
      <c r="M78" s="31">
        <f t="shared" si="9"/>
        <v>1191.0200000000004</v>
      </c>
      <c r="N78" s="31">
        <f t="shared" si="10"/>
        <v>8701.16</v>
      </c>
      <c r="P78" s="1">
        <f t="shared" si="11"/>
        <v>3.149518127581459E-2</v>
      </c>
      <c r="Q78" s="1">
        <f t="shared" si="12"/>
        <v>0.10931803579623685</v>
      </c>
      <c r="R78" s="1">
        <f t="shared" si="13"/>
        <v>0.79863790729692519</v>
      </c>
    </row>
    <row r="79" spans="1:18" x14ac:dyDescent="0.3">
      <c r="A79" s="42">
        <v>44331</v>
      </c>
      <c r="B79" s="11">
        <v>302</v>
      </c>
      <c r="C79" s="43">
        <v>90</v>
      </c>
      <c r="D79" s="11">
        <v>839</v>
      </c>
      <c r="E79" s="43">
        <v>1199</v>
      </c>
      <c r="F79" s="43">
        <v>2260</v>
      </c>
      <c r="G79" s="43">
        <v>3318</v>
      </c>
      <c r="H79" s="43">
        <v>1959</v>
      </c>
      <c r="I79" s="43">
        <v>641</v>
      </c>
      <c r="J79" s="43">
        <v>359</v>
      </c>
      <c r="K79" s="31">
        <f t="shared" si="7"/>
        <v>10967</v>
      </c>
      <c r="L79" s="31">
        <f t="shared" si="8"/>
        <v>343.40000000000003</v>
      </c>
      <c r="M79" s="31">
        <f t="shared" si="9"/>
        <v>1151.3800000000003</v>
      </c>
      <c r="N79" s="31">
        <f t="shared" si="10"/>
        <v>8800.7800000000007</v>
      </c>
      <c r="P79" s="1">
        <f t="shared" si="11"/>
        <v>3.1312118172699924E-2</v>
      </c>
      <c r="Q79" s="1">
        <f t="shared" si="12"/>
        <v>0.10498586669098207</v>
      </c>
      <c r="R79" s="1">
        <f t="shared" si="13"/>
        <v>0.80247834412327901</v>
      </c>
    </row>
    <row r="80" spans="1:18" x14ac:dyDescent="0.3">
      <c r="A80" s="42">
        <v>44362</v>
      </c>
      <c r="B80" s="11">
        <v>296</v>
      </c>
      <c r="C80" s="43">
        <v>105</v>
      </c>
      <c r="D80" s="11">
        <v>880</v>
      </c>
      <c r="E80" s="43">
        <v>1176</v>
      </c>
      <c r="F80" s="43">
        <v>2306</v>
      </c>
      <c r="G80" s="43">
        <v>3377</v>
      </c>
      <c r="H80" s="43">
        <v>2009</v>
      </c>
      <c r="I80" s="43">
        <v>467</v>
      </c>
      <c r="J80" s="43">
        <v>322</v>
      </c>
      <c r="K80" s="31">
        <f t="shared" si="7"/>
        <v>10938</v>
      </c>
      <c r="L80" s="31">
        <f t="shared" si="8"/>
        <v>344.3</v>
      </c>
      <c r="M80" s="31">
        <f t="shared" si="9"/>
        <v>1195.4200000000005</v>
      </c>
      <c r="N80" s="31">
        <f t="shared" si="10"/>
        <v>8739.7200000000012</v>
      </c>
      <c r="P80" s="1">
        <f t="shared" si="11"/>
        <v>3.1477418175169136E-2</v>
      </c>
      <c r="Q80" s="1">
        <f t="shared" si="12"/>
        <v>0.10929054671786438</v>
      </c>
      <c r="R80" s="1">
        <f t="shared" si="13"/>
        <v>0.79902358749314328</v>
      </c>
    </row>
    <row r="81" spans="1:18" x14ac:dyDescent="0.3">
      <c r="A81" s="42">
        <v>44392</v>
      </c>
      <c r="B81" s="11">
        <v>300</v>
      </c>
      <c r="C81" s="43">
        <v>96</v>
      </c>
      <c r="D81" s="11">
        <v>906</v>
      </c>
      <c r="E81" s="43">
        <v>1190</v>
      </c>
      <c r="F81" s="43">
        <v>2393</v>
      </c>
      <c r="G81" s="43">
        <v>3322</v>
      </c>
      <c r="H81" s="43">
        <v>2039</v>
      </c>
      <c r="I81" s="43">
        <v>434</v>
      </c>
      <c r="J81" s="43">
        <v>342</v>
      </c>
      <c r="K81" s="31">
        <f t="shared" si="7"/>
        <v>11022</v>
      </c>
      <c r="L81" s="31">
        <f t="shared" si="8"/>
        <v>344.16</v>
      </c>
      <c r="M81" s="31">
        <f t="shared" si="9"/>
        <v>1219.6400000000003</v>
      </c>
      <c r="N81" s="31">
        <f t="shared" si="10"/>
        <v>8791.7999999999993</v>
      </c>
      <c r="P81" s="1">
        <f t="shared" si="11"/>
        <v>3.1224823081110509E-2</v>
      </c>
      <c r="Q81" s="1">
        <f t="shared" si="12"/>
        <v>0.11065505352930506</v>
      </c>
      <c r="R81" s="1">
        <f t="shared" si="13"/>
        <v>0.79765922700054426</v>
      </c>
    </row>
    <row r="82" spans="1:18" x14ac:dyDescent="0.3">
      <c r="A82" s="42">
        <v>44423</v>
      </c>
      <c r="B82" s="11">
        <v>295</v>
      </c>
      <c r="C82" s="43">
        <v>94</v>
      </c>
      <c r="D82" s="11">
        <v>783</v>
      </c>
      <c r="E82" s="43">
        <v>1034</v>
      </c>
      <c r="F82" s="43">
        <v>2448</v>
      </c>
      <c r="G82" s="43">
        <v>3326</v>
      </c>
      <c r="H82" s="43">
        <v>2056</v>
      </c>
      <c r="I82" s="43">
        <v>524</v>
      </c>
      <c r="J82" s="43">
        <v>329</v>
      </c>
      <c r="K82" s="31">
        <f t="shared" si="7"/>
        <v>10889</v>
      </c>
      <c r="L82" s="31">
        <f t="shared" si="8"/>
        <v>338.24</v>
      </c>
      <c r="M82" s="31">
        <f t="shared" si="9"/>
        <v>1061.2400000000002</v>
      </c>
      <c r="N82" s="31">
        <f t="shared" si="10"/>
        <v>8910.48</v>
      </c>
      <c r="P82" s="1">
        <f t="shared" si="11"/>
        <v>3.1062540178161447E-2</v>
      </c>
      <c r="Q82" s="1">
        <f t="shared" si="12"/>
        <v>9.7459821838552688E-2</v>
      </c>
      <c r="R82" s="1">
        <f t="shared" si="13"/>
        <v>0.81830103774451279</v>
      </c>
    </row>
    <row r="83" spans="1:18" x14ac:dyDescent="0.3">
      <c r="A83" s="42">
        <v>44454</v>
      </c>
      <c r="B83" s="11">
        <v>297</v>
      </c>
      <c r="C83" s="43">
        <v>91</v>
      </c>
      <c r="D83" s="11">
        <v>573</v>
      </c>
      <c r="E83" s="43">
        <v>867</v>
      </c>
      <c r="F83" s="43">
        <v>2407</v>
      </c>
      <c r="G83" s="43">
        <v>3255</v>
      </c>
      <c r="H83" s="43">
        <v>2131</v>
      </c>
      <c r="I83" s="43">
        <v>542</v>
      </c>
      <c r="J83" s="43">
        <v>337</v>
      </c>
      <c r="K83" s="31">
        <f t="shared" si="7"/>
        <v>10500</v>
      </c>
      <c r="L83" s="31">
        <f t="shared" si="8"/>
        <v>338.86</v>
      </c>
      <c r="M83" s="31">
        <f t="shared" si="9"/>
        <v>812.88000000000022</v>
      </c>
      <c r="N83" s="31">
        <f t="shared" si="10"/>
        <v>8862.74</v>
      </c>
      <c r="P83" s="1">
        <f t="shared" si="11"/>
        <v>3.2272380952380955E-2</v>
      </c>
      <c r="Q83" s="1">
        <f t="shared" si="12"/>
        <v>7.7417142857142879E-2</v>
      </c>
      <c r="R83" s="1">
        <f t="shared" si="13"/>
        <v>0.84407047619047615</v>
      </c>
    </row>
    <row r="84" spans="1:18" x14ac:dyDescent="0.3">
      <c r="A84" s="42">
        <v>44484</v>
      </c>
      <c r="B84" s="11">
        <v>287</v>
      </c>
      <c r="C84" s="43">
        <v>85</v>
      </c>
      <c r="D84" s="11">
        <v>742</v>
      </c>
      <c r="E84" s="43">
        <v>1146</v>
      </c>
      <c r="F84" s="43">
        <v>2598</v>
      </c>
      <c r="G84" s="43">
        <v>3270</v>
      </c>
      <c r="H84" s="43">
        <v>2164</v>
      </c>
      <c r="I84" s="43">
        <v>543</v>
      </c>
      <c r="J84" s="43">
        <v>335</v>
      </c>
      <c r="K84" s="31">
        <f t="shared" si="7"/>
        <v>11170</v>
      </c>
      <c r="L84" s="31">
        <f t="shared" si="8"/>
        <v>326.10000000000002</v>
      </c>
      <c r="M84" s="31">
        <f t="shared" si="9"/>
        <v>1040.0200000000004</v>
      </c>
      <c r="N84" s="31">
        <f t="shared" si="10"/>
        <v>9162.1200000000008</v>
      </c>
      <c r="P84" s="1">
        <f t="shared" si="11"/>
        <v>2.9194270367054614E-2</v>
      </c>
      <c r="Q84" s="1">
        <f t="shared" si="12"/>
        <v>9.3108325872873807E-2</v>
      </c>
      <c r="R84" s="1">
        <f t="shared" si="13"/>
        <v>0.82024350940017909</v>
      </c>
    </row>
    <row r="85" spans="1:18" x14ac:dyDescent="0.3">
      <c r="A85" s="42">
        <v>44515</v>
      </c>
      <c r="B85" s="11">
        <v>298</v>
      </c>
      <c r="C85" s="43">
        <v>89</v>
      </c>
      <c r="D85" s="11">
        <v>768</v>
      </c>
      <c r="E85" s="43">
        <v>1231</v>
      </c>
      <c r="F85" s="43">
        <v>2494</v>
      </c>
      <c r="G85" s="43">
        <v>3377</v>
      </c>
      <c r="H85" s="43">
        <v>2212</v>
      </c>
      <c r="I85" s="43">
        <v>553</v>
      </c>
      <c r="J85" s="43">
        <v>374</v>
      </c>
      <c r="K85" s="31">
        <f t="shared" si="7"/>
        <v>11396</v>
      </c>
      <c r="L85" s="31">
        <f t="shared" si="8"/>
        <v>338.94</v>
      </c>
      <c r="M85" s="31">
        <f t="shared" si="9"/>
        <v>1086.8800000000003</v>
      </c>
      <c r="N85" s="31">
        <f t="shared" si="10"/>
        <v>9280.82</v>
      </c>
      <c r="P85" s="1">
        <f t="shared" si="11"/>
        <v>2.9742014742014742E-2</v>
      </c>
      <c r="Q85" s="1">
        <f t="shared" si="12"/>
        <v>9.537381537381541E-2</v>
      </c>
      <c r="R85" s="1">
        <f t="shared" si="13"/>
        <v>0.81439276939276939</v>
      </c>
    </row>
    <row r="86" spans="1:18" x14ac:dyDescent="0.3">
      <c r="A86" s="42">
        <v>44545</v>
      </c>
      <c r="B86" s="11">
        <v>292</v>
      </c>
      <c r="C86" s="43">
        <v>81</v>
      </c>
      <c r="D86" s="11">
        <v>771</v>
      </c>
      <c r="E86" s="43">
        <v>1143</v>
      </c>
      <c r="F86" s="43">
        <v>2311</v>
      </c>
      <c r="G86" s="43">
        <v>3438</v>
      </c>
      <c r="H86" s="43">
        <v>2310</v>
      </c>
      <c r="I86" s="43">
        <v>560</v>
      </c>
      <c r="J86" s="43">
        <v>372</v>
      </c>
      <c r="K86" s="31">
        <f t="shared" si="7"/>
        <v>11278</v>
      </c>
      <c r="L86" s="31">
        <f t="shared" si="8"/>
        <v>329.26</v>
      </c>
      <c r="M86" s="31">
        <f t="shared" si="9"/>
        <v>1066.2000000000003</v>
      </c>
      <c r="N86" s="31">
        <f t="shared" si="10"/>
        <v>9242.4600000000009</v>
      </c>
      <c r="P86" s="1">
        <f t="shared" si="11"/>
        <v>2.9194892711473665E-2</v>
      </c>
      <c r="Q86" s="1">
        <f t="shared" si="12"/>
        <v>9.4538038659336784E-2</v>
      </c>
      <c r="R86" s="1">
        <f t="shared" si="13"/>
        <v>0.81951232488029802</v>
      </c>
    </row>
    <row r="87" spans="1:18" x14ac:dyDescent="0.3">
      <c r="A87" s="42">
        <v>44576</v>
      </c>
      <c r="B87" s="11">
        <v>278</v>
      </c>
      <c r="C87" s="43">
        <v>80</v>
      </c>
      <c r="D87" s="11">
        <v>834</v>
      </c>
      <c r="E87" s="43">
        <v>1071</v>
      </c>
      <c r="F87" s="43">
        <v>2028</v>
      </c>
      <c r="G87" s="43">
        <v>3413</v>
      </c>
      <c r="H87" s="43">
        <v>2172</v>
      </c>
      <c r="I87" s="43">
        <v>686</v>
      </c>
      <c r="J87" s="43">
        <v>393</v>
      </c>
      <c r="K87" s="31">
        <f t="shared" si="7"/>
        <v>10955</v>
      </c>
      <c r="L87" s="31">
        <f t="shared" si="8"/>
        <v>314.8</v>
      </c>
      <c r="M87" s="31">
        <f t="shared" si="9"/>
        <v>1112.8200000000004</v>
      </c>
      <c r="N87" s="31">
        <f t="shared" si="10"/>
        <v>8927.6200000000008</v>
      </c>
      <c r="P87" s="1">
        <f t="shared" si="11"/>
        <v>2.8735737106344136E-2</v>
      </c>
      <c r="Q87" s="1">
        <f t="shared" si="12"/>
        <v>0.10158101323596534</v>
      </c>
      <c r="R87" s="1">
        <f t="shared" si="13"/>
        <v>0.81493564582382483</v>
      </c>
    </row>
    <row r="88" spans="1:18" x14ac:dyDescent="0.3">
      <c r="A88" s="42">
        <v>44607</v>
      </c>
      <c r="B88" s="11">
        <v>297</v>
      </c>
      <c r="C88" s="43">
        <v>79</v>
      </c>
      <c r="D88" s="11">
        <v>705</v>
      </c>
      <c r="E88" s="43">
        <v>1156</v>
      </c>
      <c r="F88" s="43">
        <v>2121</v>
      </c>
      <c r="G88" s="43">
        <v>3344</v>
      </c>
      <c r="H88" s="43">
        <v>2201</v>
      </c>
      <c r="I88" s="43">
        <v>658</v>
      </c>
      <c r="J88" s="43">
        <v>405</v>
      </c>
      <c r="K88" s="31">
        <f t="shared" si="7"/>
        <v>10966</v>
      </c>
      <c r="L88" s="31">
        <f t="shared" si="8"/>
        <v>333.34000000000003</v>
      </c>
      <c r="M88" s="31">
        <f t="shared" si="9"/>
        <v>1001.9800000000002</v>
      </c>
      <c r="N88" s="31">
        <f t="shared" si="10"/>
        <v>8983.32</v>
      </c>
      <c r="P88" s="1">
        <f t="shared" si="11"/>
        <v>3.0397592558818166E-2</v>
      </c>
      <c r="Q88" s="1">
        <f t="shared" si="12"/>
        <v>9.1371511946014977E-2</v>
      </c>
      <c r="R88" s="1">
        <f t="shared" si="13"/>
        <v>0.81919751960605502</v>
      </c>
    </row>
    <row r="89" spans="1:18" x14ac:dyDescent="0.3">
      <c r="A89" s="42">
        <v>44635</v>
      </c>
      <c r="B89" s="11">
        <v>293</v>
      </c>
      <c r="C89" s="43">
        <v>85</v>
      </c>
      <c r="D89" s="11">
        <v>811</v>
      </c>
      <c r="E89" s="43">
        <v>1115</v>
      </c>
      <c r="F89" s="43">
        <v>2318</v>
      </c>
      <c r="G89" s="43">
        <v>3451</v>
      </c>
      <c r="H89" s="43">
        <v>2219</v>
      </c>
      <c r="I89" s="43">
        <v>712</v>
      </c>
      <c r="J89" s="43">
        <v>383</v>
      </c>
      <c r="K89" s="31">
        <f t="shared" si="7"/>
        <v>11387</v>
      </c>
      <c r="L89" s="31">
        <f t="shared" si="8"/>
        <v>332.1</v>
      </c>
      <c r="M89" s="31">
        <f t="shared" si="9"/>
        <v>1102.2000000000003</v>
      </c>
      <c r="N89" s="31">
        <f t="shared" si="10"/>
        <v>9328.2999999999993</v>
      </c>
      <c r="P89" s="1">
        <f t="shared" si="11"/>
        <v>2.9164837094932821E-2</v>
      </c>
      <c r="Q89" s="1">
        <f t="shared" si="12"/>
        <v>9.6794590322297383E-2</v>
      </c>
      <c r="R89" s="1">
        <f t="shared" si="13"/>
        <v>0.81920611223324835</v>
      </c>
    </row>
    <row r="90" spans="1:18" x14ac:dyDescent="0.3">
      <c r="A90" s="42">
        <v>44666</v>
      </c>
      <c r="B90" s="11">
        <v>289</v>
      </c>
      <c r="C90" s="43">
        <v>85</v>
      </c>
      <c r="D90" s="11">
        <v>839</v>
      </c>
      <c r="E90" s="43">
        <v>1162</v>
      </c>
      <c r="F90" s="43">
        <v>2438</v>
      </c>
      <c r="G90" s="43">
        <v>3334</v>
      </c>
      <c r="H90" s="43">
        <v>2091</v>
      </c>
      <c r="I90" s="43">
        <v>748</v>
      </c>
      <c r="J90" s="43">
        <v>352</v>
      </c>
      <c r="K90" s="31">
        <f t="shared" si="7"/>
        <v>11338</v>
      </c>
      <c r="L90" s="31">
        <f t="shared" si="8"/>
        <v>328.1</v>
      </c>
      <c r="M90" s="31">
        <f t="shared" si="9"/>
        <v>1140.5400000000004</v>
      </c>
      <c r="N90" s="31">
        <f t="shared" si="10"/>
        <v>9218.64</v>
      </c>
      <c r="P90" s="1">
        <f t="shared" si="11"/>
        <v>2.893808431822191E-2</v>
      </c>
      <c r="Q90" s="1">
        <f t="shared" si="12"/>
        <v>0.10059446110425123</v>
      </c>
      <c r="R90" s="1">
        <f t="shared" si="13"/>
        <v>0.81307461633445044</v>
      </c>
    </row>
    <row r="91" spans="1:18" x14ac:dyDescent="0.3">
      <c r="A91" s="42">
        <v>44696</v>
      </c>
      <c r="B91" s="11">
        <v>263</v>
      </c>
      <c r="C91" s="43">
        <v>94</v>
      </c>
      <c r="D91" s="11">
        <v>640</v>
      </c>
      <c r="E91" s="43">
        <v>1229</v>
      </c>
      <c r="F91" s="43">
        <v>2490</v>
      </c>
      <c r="G91" s="43">
        <v>3455</v>
      </c>
      <c r="H91" s="43">
        <v>2153</v>
      </c>
      <c r="I91" s="43">
        <v>583</v>
      </c>
      <c r="J91" s="43">
        <v>356</v>
      </c>
      <c r="K91" s="31">
        <f t="shared" si="7"/>
        <v>11263</v>
      </c>
      <c r="L91" s="31">
        <f t="shared" si="8"/>
        <v>306.24</v>
      </c>
      <c r="M91" s="31">
        <f t="shared" si="9"/>
        <v>961.14000000000033</v>
      </c>
      <c r="N91" s="31">
        <f t="shared" si="10"/>
        <v>9307.380000000001</v>
      </c>
      <c r="P91" s="1">
        <f t="shared" si="11"/>
        <v>2.7189913877297345E-2</v>
      </c>
      <c r="Q91" s="1">
        <f t="shared" si="12"/>
        <v>8.5336056112936196E-2</v>
      </c>
      <c r="R91" s="1">
        <f t="shared" si="13"/>
        <v>0.8263677528189648</v>
      </c>
    </row>
    <row r="92" spans="1:18" x14ac:dyDescent="0.3">
      <c r="A92" s="42">
        <v>44727</v>
      </c>
      <c r="B92" s="11">
        <v>265</v>
      </c>
      <c r="C92" s="43">
        <v>96</v>
      </c>
      <c r="D92" s="11">
        <v>856</v>
      </c>
      <c r="E92" s="43">
        <v>1123</v>
      </c>
      <c r="F92" s="43">
        <v>2654</v>
      </c>
      <c r="G92" s="43">
        <v>3464</v>
      </c>
      <c r="H92" s="43">
        <v>2007</v>
      </c>
      <c r="I92" s="43">
        <v>632</v>
      </c>
      <c r="J92" s="43">
        <v>382</v>
      </c>
      <c r="K92" s="31">
        <f t="shared" si="7"/>
        <v>11479</v>
      </c>
      <c r="L92" s="31">
        <f t="shared" si="8"/>
        <v>309.16000000000003</v>
      </c>
      <c r="M92" s="31">
        <f t="shared" si="9"/>
        <v>1154.9000000000003</v>
      </c>
      <c r="N92" s="31">
        <f t="shared" si="10"/>
        <v>9386.0600000000013</v>
      </c>
      <c r="P92" s="1">
        <f t="shared" si="11"/>
        <v>2.6932659639341407E-2</v>
      </c>
      <c r="Q92" s="1">
        <f t="shared" si="12"/>
        <v>0.10060980921683076</v>
      </c>
      <c r="R92" s="1">
        <f t="shared" si="13"/>
        <v>0.81767227110375484</v>
      </c>
    </row>
    <row r="93" spans="1:18" x14ac:dyDescent="0.3">
      <c r="A93" s="42">
        <v>44757</v>
      </c>
      <c r="B93" s="11">
        <v>276</v>
      </c>
      <c r="C93" s="43">
        <v>103</v>
      </c>
      <c r="D93" s="11">
        <v>701</v>
      </c>
      <c r="E93" s="43">
        <v>1264</v>
      </c>
      <c r="F93" s="43">
        <v>2738</v>
      </c>
      <c r="G93" s="43">
        <v>3427</v>
      </c>
      <c r="H93" s="43">
        <v>2120</v>
      </c>
      <c r="I93" s="43">
        <v>548</v>
      </c>
      <c r="J93" s="43">
        <v>367</v>
      </c>
      <c r="K93" s="31">
        <f t="shared" si="7"/>
        <v>11544</v>
      </c>
      <c r="L93" s="31">
        <f t="shared" si="8"/>
        <v>323.38</v>
      </c>
      <c r="M93" s="31">
        <f t="shared" si="9"/>
        <v>1034.7000000000003</v>
      </c>
      <c r="N93" s="31">
        <f t="shared" si="10"/>
        <v>9478.08</v>
      </c>
      <c r="P93" s="1">
        <f t="shared" si="11"/>
        <v>2.8012820512820513E-2</v>
      </c>
      <c r="Q93" s="1">
        <f t="shared" si="12"/>
        <v>8.963097713097716E-2</v>
      </c>
      <c r="R93" s="1">
        <f t="shared" si="13"/>
        <v>0.82103950103950107</v>
      </c>
    </row>
    <row r="94" spans="1:18" x14ac:dyDescent="0.3">
      <c r="A94" s="42">
        <v>44788</v>
      </c>
      <c r="B94" s="11">
        <v>258</v>
      </c>
      <c r="C94" s="43">
        <v>104</v>
      </c>
      <c r="D94" s="11">
        <v>731</v>
      </c>
      <c r="E94" s="43">
        <v>1208</v>
      </c>
      <c r="F94" s="43">
        <v>2685</v>
      </c>
      <c r="G94" s="43">
        <v>3566</v>
      </c>
      <c r="H94" s="43">
        <v>2093</v>
      </c>
      <c r="I94" s="43">
        <v>675</v>
      </c>
      <c r="J94" s="43">
        <v>370</v>
      </c>
      <c r="K94" s="31">
        <f t="shared" si="7"/>
        <v>11690</v>
      </c>
      <c r="L94" s="31">
        <f t="shared" si="8"/>
        <v>305.84000000000003</v>
      </c>
      <c r="M94" s="31">
        <f t="shared" si="9"/>
        <v>1052.9200000000003</v>
      </c>
      <c r="N94" s="31">
        <f t="shared" si="10"/>
        <v>9654.76</v>
      </c>
      <c r="P94" s="1">
        <f t="shared" si="11"/>
        <v>2.6162532078699747E-2</v>
      </c>
      <c r="Q94" s="1">
        <f t="shared" si="12"/>
        <v>9.0070145423438858E-2</v>
      </c>
      <c r="R94" s="1">
        <f t="shared" si="13"/>
        <v>0.82589905902480754</v>
      </c>
    </row>
    <row r="95" spans="1:18" x14ac:dyDescent="0.3">
      <c r="A95" s="42">
        <v>44819</v>
      </c>
      <c r="B95" s="11">
        <v>270</v>
      </c>
      <c r="C95" s="43">
        <v>126</v>
      </c>
      <c r="D95" s="11">
        <v>775</v>
      </c>
      <c r="E95" s="43">
        <v>1255</v>
      </c>
      <c r="F95" s="43">
        <v>2724</v>
      </c>
      <c r="G95" s="43">
        <v>3636</v>
      </c>
      <c r="H95" s="43">
        <v>2267</v>
      </c>
      <c r="I95" s="43">
        <v>551</v>
      </c>
      <c r="J95" s="43">
        <v>371</v>
      </c>
      <c r="K95" s="31">
        <f t="shared" si="7"/>
        <v>11975</v>
      </c>
      <c r="L95" s="31">
        <f t="shared" si="8"/>
        <v>327.96000000000004</v>
      </c>
      <c r="M95" s="31">
        <f t="shared" si="9"/>
        <v>1119.1400000000003</v>
      </c>
      <c r="N95" s="31">
        <f t="shared" si="10"/>
        <v>9825.1</v>
      </c>
      <c r="P95" s="1">
        <f t="shared" si="11"/>
        <v>2.7387056367432154E-2</v>
      </c>
      <c r="Q95" s="1">
        <f t="shared" si="12"/>
        <v>9.3456367432150342E-2</v>
      </c>
      <c r="R95" s="1">
        <f t="shared" si="13"/>
        <v>0.82046764091858038</v>
      </c>
    </row>
    <row r="96" spans="1:18" x14ac:dyDescent="0.3">
      <c r="A96" s="42">
        <v>44849</v>
      </c>
      <c r="B96" s="11">
        <v>236</v>
      </c>
      <c r="C96" s="43">
        <v>109</v>
      </c>
      <c r="D96" s="11">
        <v>736</v>
      </c>
      <c r="E96" s="43">
        <v>1343</v>
      </c>
      <c r="F96" s="43">
        <v>2623</v>
      </c>
      <c r="G96" s="43">
        <v>3732</v>
      </c>
      <c r="H96" s="43">
        <v>2140</v>
      </c>
      <c r="I96" s="43">
        <v>693</v>
      </c>
      <c r="J96" s="43">
        <v>351</v>
      </c>
      <c r="K96" s="31">
        <f t="shared" si="7"/>
        <v>11963</v>
      </c>
      <c r="L96" s="31">
        <f t="shared" si="8"/>
        <v>286.14</v>
      </c>
      <c r="M96" s="31">
        <f t="shared" si="9"/>
        <v>1090.3200000000004</v>
      </c>
      <c r="N96" s="31">
        <f t="shared" si="10"/>
        <v>9834.4600000000009</v>
      </c>
      <c r="P96" s="1">
        <f t="shared" si="11"/>
        <v>2.3918749477555797E-2</v>
      </c>
      <c r="Q96" s="1">
        <f t="shared" si="12"/>
        <v>9.1141018139262758E-2</v>
      </c>
      <c r="R96" s="1">
        <f t="shared" si="13"/>
        <v>0.82207305859734192</v>
      </c>
    </row>
    <row r="97" spans="1:18" x14ac:dyDescent="0.3">
      <c r="A97" s="42">
        <v>44880</v>
      </c>
      <c r="B97" s="11">
        <v>253</v>
      </c>
      <c r="C97" s="43">
        <v>78</v>
      </c>
      <c r="D97" s="11">
        <v>772</v>
      </c>
      <c r="E97" s="43">
        <v>1299</v>
      </c>
      <c r="F97" s="43">
        <v>2547</v>
      </c>
      <c r="G97" s="43">
        <v>3714</v>
      </c>
      <c r="H97" s="43">
        <v>2221</v>
      </c>
      <c r="I97" s="43">
        <v>748</v>
      </c>
      <c r="J97" s="43">
        <v>363</v>
      </c>
      <c r="K97" s="31">
        <f t="shared" si="7"/>
        <v>11995</v>
      </c>
      <c r="L97" s="31">
        <f t="shared" si="8"/>
        <v>288.88</v>
      </c>
      <c r="M97" s="31">
        <f t="shared" si="9"/>
        <v>1099.9000000000003</v>
      </c>
      <c r="N97" s="31">
        <f t="shared" si="10"/>
        <v>9878.7800000000007</v>
      </c>
      <c r="P97" s="1">
        <f t="shared" si="11"/>
        <v>2.4083368070029178E-2</v>
      </c>
      <c r="Q97" s="1">
        <f t="shared" si="12"/>
        <v>9.1696540225093812E-2</v>
      </c>
      <c r="R97" s="1">
        <f t="shared" si="13"/>
        <v>0.82357482284285122</v>
      </c>
    </row>
    <row r="98" spans="1:18" x14ac:dyDescent="0.3">
      <c r="A98" s="42">
        <v>44910</v>
      </c>
      <c r="B98" s="11">
        <v>261</v>
      </c>
      <c r="C98" s="43">
        <v>119</v>
      </c>
      <c r="D98" s="11">
        <v>729</v>
      </c>
      <c r="E98" s="43">
        <v>1308</v>
      </c>
      <c r="F98" s="43">
        <v>2390</v>
      </c>
      <c r="G98" s="43">
        <v>3568</v>
      </c>
      <c r="H98" s="43">
        <v>2266</v>
      </c>
      <c r="I98" s="43">
        <v>695</v>
      </c>
      <c r="J98" s="43">
        <v>374</v>
      </c>
      <c r="K98" s="31">
        <f t="shared" si="7"/>
        <v>11710</v>
      </c>
      <c r="L98" s="31">
        <f t="shared" si="8"/>
        <v>315.74</v>
      </c>
      <c r="M98" s="31">
        <f t="shared" si="9"/>
        <v>1081.0200000000004</v>
      </c>
      <c r="N98" s="31">
        <f t="shared" si="10"/>
        <v>9580.76</v>
      </c>
      <c r="P98" s="1">
        <f t="shared" si="11"/>
        <v>2.6963279248505553E-2</v>
      </c>
      <c r="Q98" s="1">
        <f t="shared" si="12"/>
        <v>9.2315969257045299E-2</v>
      </c>
      <c r="R98" s="1">
        <f t="shared" si="13"/>
        <v>0.81816908625106743</v>
      </c>
    </row>
    <row r="99" spans="1:18" x14ac:dyDescent="0.3">
      <c r="A99" s="42">
        <v>44941</v>
      </c>
      <c r="B99" s="11">
        <v>252</v>
      </c>
      <c r="C99" s="43">
        <v>104</v>
      </c>
      <c r="D99" s="11">
        <v>681</v>
      </c>
      <c r="E99" s="43">
        <v>1362</v>
      </c>
      <c r="F99" s="43">
        <v>2390</v>
      </c>
      <c r="G99" s="43">
        <v>3877</v>
      </c>
      <c r="H99" s="43">
        <v>2357</v>
      </c>
      <c r="I99" s="43">
        <v>716</v>
      </c>
      <c r="J99" s="43">
        <v>408</v>
      </c>
      <c r="K99" s="31">
        <f t="shared" si="7"/>
        <v>12147</v>
      </c>
      <c r="L99" s="31">
        <f t="shared" si="8"/>
        <v>299.84000000000003</v>
      </c>
      <c r="M99" s="31">
        <f t="shared" si="9"/>
        <v>1036.8000000000004</v>
      </c>
      <c r="N99" s="31">
        <f t="shared" si="10"/>
        <v>10047.64</v>
      </c>
      <c r="P99" s="1">
        <f t="shared" si="11"/>
        <v>2.4684284185395575E-2</v>
      </c>
      <c r="Q99" s="1">
        <f t="shared" si="12"/>
        <v>8.5354408495924947E-2</v>
      </c>
      <c r="R99" s="1">
        <f t="shared" si="13"/>
        <v>0.8271704947723717</v>
      </c>
    </row>
    <row r="100" spans="1:18" x14ac:dyDescent="0.3">
      <c r="A100" s="42">
        <v>44972</v>
      </c>
      <c r="B100" s="11">
        <v>264</v>
      </c>
      <c r="C100" s="43">
        <v>112</v>
      </c>
      <c r="D100" s="11">
        <v>665</v>
      </c>
      <c r="E100" s="43">
        <v>1450</v>
      </c>
      <c r="F100" s="43">
        <v>2600</v>
      </c>
      <c r="G100" s="43">
        <v>3724</v>
      </c>
      <c r="H100" s="43">
        <v>2256</v>
      </c>
      <c r="I100" s="43">
        <v>669</v>
      </c>
      <c r="J100" s="43">
        <v>385</v>
      </c>
      <c r="K100" s="31">
        <f t="shared" si="7"/>
        <v>12125</v>
      </c>
      <c r="L100" s="31">
        <f t="shared" si="8"/>
        <v>315.52000000000004</v>
      </c>
      <c r="M100" s="31">
        <f t="shared" si="9"/>
        <v>1044.4800000000005</v>
      </c>
      <c r="N100" s="31">
        <f t="shared" si="10"/>
        <v>9953</v>
      </c>
      <c r="P100" s="1">
        <f t="shared" si="11"/>
        <v>2.6022268041237116E-2</v>
      </c>
      <c r="Q100" s="1">
        <f t="shared" si="12"/>
        <v>8.6142680412371178E-2</v>
      </c>
      <c r="R100" s="1">
        <f t="shared" si="13"/>
        <v>0.82086597938144334</v>
      </c>
    </row>
    <row r="101" spans="1:18" x14ac:dyDescent="0.3">
      <c r="A101" s="42">
        <v>45000</v>
      </c>
      <c r="B101" s="11">
        <v>263</v>
      </c>
      <c r="C101" s="43">
        <v>132</v>
      </c>
      <c r="D101" s="11">
        <v>726</v>
      </c>
      <c r="E101" s="43">
        <v>1331</v>
      </c>
      <c r="F101" s="43">
        <v>2854</v>
      </c>
      <c r="G101" s="43">
        <v>3753</v>
      </c>
      <c r="H101" s="43">
        <v>2280</v>
      </c>
      <c r="I101" s="43">
        <v>666</v>
      </c>
      <c r="J101" s="43">
        <v>368</v>
      </c>
      <c r="K101" s="31">
        <f t="shared" si="7"/>
        <v>12373</v>
      </c>
      <c r="L101" s="31">
        <f t="shared" si="8"/>
        <v>323.72000000000003</v>
      </c>
      <c r="M101" s="31">
        <f t="shared" si="9"/>
        <v>1090.1000000000004</v>
      </c>
      <c r="N101" s="31">
        <f t="shared" si="10"/>
        <v>10213.82</v>
      </c>
      <c r="P101" s="1">
        <f t="shared" si="11"/>
        <v>2.6163420350763762E-2</v>
      </c>
      <c r="Q101" s="1">
        <f t="shared" si="12"/>
        <v>8.810312777822682E-2</v>
      </c>
      <c r="R101" s="1">
        <f t="shared" si="13"/>
        <v>0.82549260486543274</v>
      </c>
    </row>
    <row r="102" spans="1:18" x14ac:dyDescent="0.3">
      <c r="A102" s="42">
        <v>45031</v>
      </c>
      <c r="B102" s="11">
        <v>264</v>
      </c>
      <c r="C102" s="43">
        <v>158</v>
      </c>
      <c r="D102" s="11">
        <v>749</v>
      </c>
      <c r="E102" s="43">
        <v>1281</v>
      </c>
      <c r="F102" s="43">
        <v>2844</v>
      </c>
      <c r="G102" s="43">
        <v>3766</v>
      </c>
      <c r="H102" s="43">
        <v>2147</v>
      </c>
      <c r="I102" s="43">
        <v>685</v>
      </c>
      <c r="J102" s="43">
        <v>345</v>
      </c>
      <c r="K102" s="31">
        <f t="shared" si="7"/>
        <v>12239</v>
      </c>
      <c r="L102" s="31">
        <f t="shared" si="8"/>
        <v>336.68</v>
      </c>
      <c r="M102" s="31">
        <f t="shared" si="9"/>
        <v>1116.1400000000003</v>
      </c>
      <c r="N102" s="31">
        <f t="shared" si="10"/>
        <v>10068.82</v>
      </c>
      <c r="P102" s="1">
        <f t="shared" si="11"/>
        <v>2.7508783397336384E-2</v>
      </c>
      <c r="Q102" s="1">
        <f t="shared" si="12"/>
        <v>9.1195359097965542E-2</v>
      </c>
      <c r="R102" s="1">
        <f t="shared" si="13"/>
        <v>0.82268322575373798</v>
      </c>
    </row>
    <row r="103" spans="1:18" x14ac:dyDescent="0.3">
      <c r="A103" s="42">
        <v>45061</v>
      </c>
      <c r="B103" s="11">
        <v>269</v>
      </c>
      <c r="C103" s="43">
        <v>171</v>
      </c>
      <c r="D103" s="11">
        <v>714</v>
      </c>
      <c r="E103" s="43">
        <v>1270</v>
      </c>
      <c r="F103" s="43">
        <v>2923</v>
      </c>
      <c r="G103" s="43">
        <v>3814</v>
      </c>
      <c r="H103" s="43">
        <v>2076</v>
      </c>
      <c r="I103" s="43">
        <v>725</v>
      </c>
      <c r="J103" s="43">
        <v>331</v>
      </c>
      <c r="K103" s="31">
        <f t="shared" si="7"/>
        <v>12293</v>
      </c>
      <c r="L103" s="31">
        <f t="shared" si="8"/>
        <v>347.66</v>
      </c>
      <c r="M103" s="31">
        <f t="shared" si="9"/>
        <v>1085.7400000000002</v>
      </c>
      <c r="N103" s="31">
        <f t="shared" si="10"/>
        <v>10148.400000000001</v>
      </c>
      <c r="P103" s="1">
        <f t="shared" si="11"/>
        <v>2.8281135605629223E-2</v>
      </c>
      <c r="Q103" s="1">
        <f t="shared" si="12"/>
        <v>8.8321809159684392E-2</v>
      </c>
      <c r="R103" s="1">
        <f t="shared" si="13"/>
        <v>0.82554299194663638</v>
      </c>
    </row>
    <row r="104" spans="1:18" x14ac:dyDescent="0.3">
      <c r="A104" s="42">
        <v>45092</v>
      </c>
      <c r="B104" s="11">
        <v>276</v>
      </c>
      <c r="C104" s="43">
        <v>186</v>
      </c>
      <c r="D104" s="11">
        <v>774</v>
      </c>
      <c r="E104" s="43">
        <v>1298</v>
      </c>
      <c r="F104" s="43">
        <v>3320</v>
      </c>
      <c r="G104" s="43">
        <v>3674</v>
      </c>
      <c r="H104" s="43">
        <v>2016</v>
      </c>
      <c r="I104" s="43">
        <v>576</v>
      </c>
      <c r="J104" s="43">
        <v>319</v>
      </c>
      <c r="K104" s="31">
        <f t="shared" si="7"/>
        <v>12439</v>
      </c>
      <c r="L104" s="31">
        <f t="shared" si="8"/>
        <v>361.56000000000006</v>
      </c>
      <c r="M104" s="31">
        <f t="shared" si="9"/>
        <v>1160.0000000000002</v>
      </c>
      <c r="N104" s="31">
        <f t="shared" si="10"/>
        <v>10190.560000000001</v>
      </c>
      <c r="P104" s="1">
        <f t="shared" si="11"/>
        <v>2.9066645228716138E-2</v>
      </c>
      <c r="Q104" s="1">
        <f t="shared" si="12"/>
        <v>9.3255084813891817E-2</v>
      </c>
      <c r="R104" s="1">
        <f t="shared" si="13"/>
        <v>0.81924270439745972</v>
      </c>
    </row>
    <row r="105" spans="1:18" x14ac:dyDescent="0.3">
      <c r="A105" s="42">
        <v>45122</v>
      </c>
      <c r="B105" s="11">
        <v>269</v>
      </c>
      <c r="C105" s="43">
        <v>194</v>
      </c>
      <c r="D105" s="11">
        <v>803</v>
      </c>
      <c r="E105" s="43">
        <v>1435</v>
      </c>
      <c r="F105" s="43">
        <v>3149</v>
      </c>
      <c r="G105" s="43">
        <v>3738</v>
      </c>
      <c r="H105" s="43">
        <v>2053</v>
      </c>
      <c r="I105" s="43">
        <v>586</v>
      </c>
      <c r="J105" s="43">
        <v>306</v>
      </c>
      <c r="K105" s="31">
        <f t="shared" si="7"/>
        <v>12533</v>
      </c>
      <c r="L105" s="31">
        <f t="shared" si="8"/>
        <v>358.24</v>
      </c>
      <c r="M105" s="31">
        <f t="shared" si="9"/>
        <v>1223.4600000000005</v>
      </c>
      <c r="N105" s="31">
        <f t="shared" si="10"/>
        <v>10147.700000000001</v>
      </c>
      <c r="P105" s="1">
        <f t="shared" si="11"/>
        <v>2.8583738929226842E-2</v>
      </c>
      <c r="Q105" s="1">
        <f t="shared" si="12"/>
        <v>9.761908561397914E-2</v>
      </c>
      <c r="R105" s="1">
        <f t="shared" si="13"/>
        <v>0.80967844889491747</v>
      </c>
    </row>
    <row r="106" spans="1:18" x14ac:dyDescent="0.3">
      <c r="A106" s="42">
        <v>45153</v>
      </c>
      <c r="B106" s="11">
        <v>270</v>
      </c>
      <c r="C106" s="43">
        <v>114</v>
      </c>
      <c r="D106" s="11">
        <v>923</v>
      </c>
      <c r="E106" s="43">
        <v>1308</v>
      </c>
      <c r="F106" s="43">
        <v>3324</v>
      </c>
      <c r="G106" s="43">
        <v>3721</v>
      </c>
      <c r="H106" s="43">
        <v>2121</v>
      </c>
      <c r="I106" s="43">
        <v>578</v>
      </c>
      <c r="J106" s="43">
        <v>289</v>
      </c>
      <c r="K106" s="31">
        <f t="shared" si="7"/>
        <v>12648</v>
      </c>
      <c r="L106" s="31">
        <f t="shared" si="8"/>
        <v>322.44</v>
      </c>
      <c r="M106" s="31">
        <f t="shared" si="9"/>
        <v>1272.3200000000002</v>
      </c>
      <c r="N106" s="31">
        <f t="shared" si="10"/>
        <v>10320.76</v>
      </c>
      <c r="P106" s="1">
        <f t="shared" si="11"/>
        <v>2.5493358633776091E-2</v>
      </c>
      <c r="Q106" s="1">
        <f t="shared" si="12"/>
        <v>0.10059456040480709</v>
      </c>
      <c r="R106" s="1">
        <f t="shared" si="13"/>
        <v>0.81599936748893109</v>
      </c>
    </row>
    <row r="107" spans="1:18" x14ac:dyDescent="0.3">
      <c r="A107" s="42">
        <v>45184</v>
      </c>
      <c r="B107" s="11">
        <v>240</v>
      </c>
      <c r="C107" s="43">
        <v>115</v>
      </c>
      <c r="D107" s="11">
        <v>922</v>
      </c>
      <c r="E107" s="43">
        <v>1381</v>
      </c>
      <c r="F107" s="43">
        <v>3347</v>
      </c>
      <c r="G107" s="43">
        <v>3666</v>
      </c>
      <c r="H107" s="43">
        <v>2231</v>
      </c>
      <c r="I107" s="43">
        <v>509</v>
      </c>
      <c r="J107" s="43">
        <v>344</v>
      </c>
      <c r="K107" s="31">
        <f t="shared" si="7"/>
        <v>12755</v>
      </c>
      <c r="L107" s="31">
        <f t="shared" si="8"/>
        <v>292.90000000000003</v>
      </c>
      <c r="M107" s="31">
        <f t="shared" si="9"/>
        <v>1287.9200000000005</v>
      </c>
      <c r="N107" s="31">
        <f t="shared" si="10"/>
        <v>10400.82</v>
      </c>
      <c r="P107" s="1">
        <f t="shared" si="11"/>
        <v>2.296354370834967E-2</v>
      </c>
      <c r="Q107" s="1">
        <f t="shared" si="12"/>
        <v>0.10097373578988636</v>
      </c>
      <c r="R107" s="1">
        <f t="shared" si="13"/>
        <v>0.81543081144649154</v>
      </c>
    </row>
    <row r="108" spans="1:18" x14ac:dyDescent="0.3">
      <c r="A108" s="42">
        <v>45214</v>
      </c>
      <c r="B108" s="11">
        <v>238</v>
      </c>
      <c r="C108" s="43">
        <v>199</v>
      </c>
      <c r="D108" s="11">
        <v>820</v>
      </c>
      <c r="E108" s="43">
        <v>1328</v>
      </c>
      <c r="F108" s="43">
        <v>3189</v>
      </c>
      <c r="G108" s="43">
        <v>3704</v>
      </c>
      <c r="H108" s="43">
        <v>2204</v>
      </c>
      <c r="I108" s="43">
        <v>704</v>
      </c>
      <c r="J108" s="43">
        <v>333</v>
      </c>
      <c r="K108" s="31">
        <f t="shared" si="7"/>
        <v>12719</v>
      </c>
      <c r="L108" s="31">
        <f t="shared" si="8"/>
        <v>329.54</v>
      </c>
      <c r="M108" s="31">
        <f t="shared" si="9"/>
        <v>1219.6200000000003</v>
      </c>
      <c r="N108" s="31">
        <f t="shared" si="10"/>
        <v>10426.16</v>
      </c>
      <c r="P108" s="1">
        <f t="shared" si="11"/>
        <v>2.5909269596666406E-2</v>
      </c>
      <c r="Q108" s="1">
        <f t="shared" si="12"/>
        <v>9.588961396336193E-2</v>
      </c>
      <c r="R108" s="1">
        <f t="shared" si="13"/>
        <v>0.81973111093639439</v>
      </c>
    </row>
    <row r="109" spans="1:18" x14ac:dyDescent="0.3">
      <c r="A109" s="42">
        <v>45245</v>
      </c>
      <c r="B109" s="11">
        <v>240</v>
      </c>
      <c r="C109" s="43">
        <v>170</v>
      </c>
      <c r="D109" s="11">
        <v>822</v>
      </c>
      <c r="E109" s="43">
        <v>1251</v>
      </c>
      <c r="F109" s="43">
        <v>3060</v>
      </c>
      <c r="G109" s="43">
        <v>3877</v>
      </c>
      <c r="H109" s="43">
        <v>2486</v>
      </c>
      <c r="I109" s="43">
        <v>582</v>
      </c>
      <c r="J109" s="43">
        <v>361</v>
      </c>
      <c r="K109" s="31">
        <f t="shared" si="7"/>
        <v>12849</v>
      </c>
      <c r="L109" s="31">
        <f t="shared" si="8"/>
        <v>318.20000000000005</v>
      </c>
      <c r="M109" s="31">
        <f t="shared" si="9"/>
        <v>1189.0200000000004</v>
      </c>
      <c r="N109" s="31">
        <f t="shared" si="10"/>
        <v>10641.220000000001</v>
      </c>
      <c r="P109" s="1">
        <f t="shared" si="11"/>
        <v>2.4764573118530628E-2</v>
      </c>
      <c r="Q109" s="1">
        <f t="shared" si="12"/>
        <v>9.2537940695774021E-2</v>
      </c>
      <c r="R109" s="1">
        <f t="shared" si="13"/>
        <v>0.82817495524943585</v>
      </c>
    </row>
    <row r="110" spans="1:18" x14ac:dyDescent="0.3">
      <c r="A110" s="42">
        <v>45275</v>
      </c>
      <c r="B110" s="11">
        <v>242</v>
      </c>
      <c r="C110" s="43">
        <v>140</v>
      </c>
      <c r="D110" s="11">
        <v>845</v>
      </c>
      <c r="E110" s="43">
        <v>1270</v>
      </c>
      <c r="F110" s="43">
        <v>3040</v>
      </c>
      <c r="G110" s="43">
        <v>3880</v>
      </c>
      <c r="H110" s="43">
        <v>2351</v>
      </c>
      <c r="I110" s="43">
        <v>729</v>
      </c>
      <c r="J110" s="43">
        <v>345</v>
      </c>
      <c r="K110" s="31">
        <f t="shared" si="7"/>
        <v>12842</v>
      </c>
      <c r="L110" s="31">
        <f t="shared" si="8"/>
        <v>306.40000000000003</v>
      </c>
      <c r="M110" s="31">
        <f t="shared" si="9"/>
        <v>1200.0000000000005</v>
      </c>
      <c r="N110" s="31">
        <f t="shared" si="10"/>
        <v>10624.400000000001</v>
      </c>
      <c r="P110" s="1">
        <f t="shared" si="11"/>
        <v>2.385921196075378E-2</v>
      </c>
      <c r="Q110" s="1">
        <f t="shared" si="12"/>
        <v>9.3443388880236761E-2</v>
      </c>
      <c r="R110" s="1">
        <f t="shared" si="13"/>
        <v>0.8273166173493226</v>
      </c>
    </row>
    <row r="111" spans="1:18" x14ac:dyDescent="0.3">
      <c r="A111" s="42">
        <v>45306</v>
      </c>
      <c r="B111" s="11">
        <v>236</v>
      </c>
      <c r="C111" s="43">
        <v>197</v>
      </c>
      <c r="D111" s="11">
        <v>728</v>
      </c>
      <c r="E111" s="43">
        <v>1224</v>
      </c>
      <c r="F111" s="43">
        <v>2694</v>
      </c>
      <c r="G111" s="43">
        <v>3663</v>
      </c>
      <c r="H111" s="43">
        <v>2330</v>
      </c>
      <c r="I111" s="43">
        <v>673</v>
      </c>
      <c r="J111" s="43">
        <v>351</v>
      </c>
      <c r="K111" s="31">
        <f t="shared" si="7"/>
        <v>12096</v>
      </c>
      <c r="L111" s="31">
        <f t="shared" si="8"/>
        <v>326.62</v>
      </c>
      <c r="M111" s="31">
        <f t="shared" si="9"/>
        <v>1103.6600000000003</v>
      </c>
      <c r="N111" s="31">
        <f t="shared" si="10"/>
        <v>9980.2800000000007</v>
      </c>
      <c r="P111" s="1">
        <f t="shared" si="11"/>
        <v>2.7002314814814816E-2</v>
      </c>
      <c r="Q111" s="1">
        <f t="shared" si="12"/>
        <v>9.1241732804232825E-2</v>
      </c>
      <c r="R111" s="1">
        <f t="shared" si="13"/>
        <v>0.82508928571428575</v>
      </c>
    </row>
    <row r="112" spans="1:18" x14ac:dyDescent="0.3">
      <c r="A112" s="42">
        <v>45337</v>
      </c>
      <c r="B112" s="11">
        <v>233</v>
      </c>
      <c r="C112" s="43">
        <v>312</v>
      </c>
      <c r="D112" s="11">
        <v>698</v>
      </c>
      <c r="E112" s="43">
        <v>1195</v>
      </c>
      <c r="F112" s="43">
        <v>2981</v>
      </c>
      <c r="G112" s="43">
        <v>3800</v>
      </c>
      <c r="H112" s="43">
        <v>2324</v>
      </c>
      <c r="I112" s="43">
        <v>741</v>
      </c>
      <c r="J112" s="43">
        <v>354</v>
      </c>
      <c r="K112" s="31">
        <f t="shared" si="7"/>
        <v>12638</v>
      </c>
      <c r="L112" s="31">
        <f t="shared" si="8"/>
        <v>376.52000000000004</v>
      </c>
      <c r="M112" s="31">
        <f t="shared" si="9"/>
        <v>1129.3800000000003</v>
      </c>
      <c r="N112" s="31">
        <f t="shared" si="10"/>
        <v>10462.900000000001</v>
      </c>
      <c r="P112" s="1">
        <f t="shared" si="11"/>
        <v>2.979268871656908E-2</v>
      </c>
      <c r="Q112" s="1">
        <f t="shared" si="12"/>
        <v>8.9363823389776886E-2</v>
      </c>
      <c r="R112" s="1">
        <f t="shared" si="13"/>
        <v>0.82789207153030553</v>
      </c>
    </row>
    <row r="114" spans="12:18" x14ac:dyDescent="0.3">
      <c r="L114">
        <f>AVERAGE(L3:L113)</f>
        <v>407.48018181818173</v>
      </c>
      <c r="M114" s="31">
        <f t="shared" ref="M114:N114" si="14">AVERAGE(M3:M113)</f>
        <v>1092.6929090909096</v>
      </c>
      <c r="N114" s="31">
        <f t="shared" si="14"/>
        <v>8279.9821818181808</v>
      </c>
      <c r="P114" s="1">
        <f>AVERAGE(P3:P113)</f>
        <v>4.05176625233368E-2</v>
      </c>
      <c r="Q114" s="1">
        <f t="shared" ref="Q114" si="15">AVERAGE(Q3:Q113)</f>
        <v>0.10589128667161184</v>
      </c>
      <c r="R114" s="1">
        <f t="shared" ref="R114" si="16">AVERAGE(R3:R113)</f>
        <v>0.78560743681958889</v>
      </c>
    </row>
    <row r="115" spans="12:18" x14ac:dyDescent="0.3">
      <c r="P115" s="1">
        <f>_xlfn.STDEV.P(P3:P112)</f>
        <v>1.3020181872314743E-2</v>
      </c>
      <c r="Q115" s="1">
        <f t="shared" ref="Q115:R115" si="17">_xlfn.STDEV.P(Q3:Q112)</f>
        <v>1.4100964538124665E-2</v>
      </c>
      <c r="R115" s="1">
        <f t="shared" si="17"/>
        <v>3.4163868947331012E-2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60D4-EE18-4A1F-B262-0C731520ECD2}">
  <dimension ref="A2:J68"/>
  <sheetViews>
    <sheetView tabSelected="1" workbookViewId="0">
      <selection activeCell="F30" sqref="F30"/>
    </sheetView>
  </sheetViews>
  <sheetFormatPr defaultRowHeight="14" x14ac:dyDescent="0.3"/>
  <cols>
    <col min="1" max="1" width="38" bestFit="1" customWidth="1"/>
    <col min="2" max="2" width="27.1640625" bestFit="1" customWidth="1"/>
    <col min="3" max="3" width="23.5" bestFit="1" customWidth="1"/>
    <col min="8" max="8" width="30.83203125" customWidth="1"/>
  </cols>
  <sheetData>
    <row r="2" spans="1:10" x14ac:dyDescent="0.3">
      <c r="A2" t="s">
        <v>275</v>
      </c>
    </row>
    <row r="3" spans="1:10" x14ac:dyDescent="0.3">
      <c r="A3" t="s">
        <v>274</v>
      </c>
    </row>
    <row r="4" spans="1:10" ht="14.5" thickBot="1" x14ac:dyDescent="0.35"/>
    <row r="5" spans="1:10" ht="15.5" x14ac:dyDescent="0.3">
      <c r="A5" t="s">
        <v>209</v>
      </c>
      <c r="B5" t="s">
        <v>210</v>
      </c>
      <c r="C5" t="s">
        <v>211</v>
      </c>
      <c r="H5" s="25" t="s">
        <v>215</v>
      </c>
      <c r="I5" s="24" t="s">
        <v>322</v>
      </c>
      <c r="J5" s="24" t="s">
        <v>323</v>
      </c>
    </row>
    <row r="6" spans="1:10" ht="15.5" x14ac:dyDescent="0.3">
      <c r="A6" t="s">
        <v>196</v>
      </c>
      <c r="B6">
        <v>22047</v>
      </c>
      <c r="C6">
        <v>37</v>
      </c>
      <c r="H6" s="30" t="s">
        <v>216</v>
      </c>
      <c r="I6" s="27" t="s">
        <v>322</v>
      </c>
      <c r="J6" s="27" t="s">
        <v>324</v>
      </c>
    </row>
    <row r="7" spans="1:10" ht="15.5" x14ac:dyDescent="0.3">
      <c r="A7" t="s">
        <v>212</v>
      </c>
      <c r="B7">
        <v>14697</v>
      </c>
      <c r="C7">
        <v>42</v>
      </c>
      <c r="H7" s="30" t="s">
        <v>217</v>
      </c>
      <c r="I7" s="27" t="s">
        <v>322</v>
      </c>
      <c r="J7" s="27" t="s">
        <v>325</v>
      </c>
    </row>
    <row r="8" spans="1:10" ht="15.5" x14ac:dyDescent="0.3">
      <c r="A8" t="s">
        <v>213</v>
      </c>
      <c r="B8">
        <v>12233</v>
      </c>
      <c r="C8">
        <v>111</v>
      </c>
      <c r="H8" s="30" t="s">
        <v>228</v>
      </c>
      <c r="I8" s="27" t="s">
        <v>322</v>
      </c>
      <c r="J8" s="27" t="s">
        <v>326</v>
      </c>
    </row>
    <row r="9" spans="1:10" ht="15.5" x14ac:dyDescent="0.3">
      <c r="A9" t="s">
        <v>214</v>
      </c>
      <c r="B9">
        <v>16770</v>
      </c>
      <c r="C9">
        <v>109</v>
      </c>
      <c r="H9" s="30" t="s">
        <v>229</v>
      </c>
      <c r="I9" s="27" t="s">
        <v>322</v>
      </c>
      <c r="J9" s="27" t="s">
        <v>327</v>
      </c>
    </row>
    <row r="10" spans="1:10" ht="15.5" x14ac:dyDescent="0.3">
      <c r="A10" t="s">
        <v>215</v>
      </c>
      <c r="B10">
        <v>9006</v>
      </c>
      <c r="C10">
        <v>65</v>
      </c>
      <c r="H10" s="30" t="s">
        <v>230</v>
      </c>
      <c r="I10" s="27" t="s">
        <v>322</v>
      </c>
      <c r="J10" s="27" t="s">
        <v>328</v>
      </c>
    </row>
    <row r="11" spans="1:10" ht="15.5" x14ac:dyDescent="0.3">
      <c r="A11" t="s">
        <v>216</v>
      </c>
      <c r="B11">
        <v>5269</v>
      </c>
      <c r="C11">
        <v>40</v>
      </c>
      <c r="H11" s="30" t="s">
        <v>231</v>
      </c>
      <c r="I11" s="27" t="s">
        <v>322</v>
      </c>
      <c r="J11" s="27" t="s">
        <v>329</v>
      </c>
    </row>
    <row r="12" spans="1:10" ht="15.5" x14ac:dyDescent="0.3">
      <c r="A12" t="s">
        <v>217</v>
      </c>
      <c r="B12">
        <v>15511</v>
      </c>
      <c r="C12">
        <v>127</v>
      </c>
      <c r="H12" s="30" t="s">
        <v>232</v>
      </c>
      <c r="I12" s="27" t="s">
        <v>322</v>
      </c>
      <c r="J12" s="27" t="s">
        <v>330</v>
      </c>
    </row>
    <row r="13" spans="1:10" ht="16" thickBot="1" x14ac:dyDescent="0.35">
      <c r="A13" t="s">
        <v>218</v>
      </c>
      <c r="B13">
        <v>12760</v>
      </c>
      <c r="C13">
        <v>125</v>
      </c>
      <c r="H13" s="29" t="s">
        <v>233</v>
      </c>
      <c r="I13" s="26" t="s">
        <v>322</v>
      </c>
      <c r="J13" s="26" t="s">
        <v>331</v>
      </c>
    </row>
    <row r="14" spans="1:10" x14ac:dyDescent="0.3">
      <c r="A14" t="s">
        <v>219</v>
      </c>
      <c r="B14">
        <v>13608</v>
      </c>
      <c r="C14">
        <v>81</v>
      </c>
    </row>
    <row r="15" spans="1:10" x14ac:dyDescent="0.3">
      <c r="A15" t="s">
        <v>220</v>
      </c>
      <c r="B15">
        <v>25696</v>
      </c>
      <c r="C15">
        <v>117</v>
      </c>
    </row>
    <row r="16" spans="1:10" x14ac:dyDescent="0.3">
      <c r="A16" t="s">
        <v>221</v>
      </c>
      <c r="B16">
        <v>8084</v>
      </c>
      <c r="C16">
        <v>56</v>
      </c>
    </row>
    <row r="17" spans="1:3" x14ac:dyDescent="0.3">
      <c r="A17" t="s">
        <v>222</v>
      </c>
      <c r="B17">
        <v>8367</v>
      </c>
      <c r="C17">
        <v>61</v>
      </c>
    </row>
    <row r="18" spans="1:3" x14ac:dyDescent="0.3">
      <c r="A18" t="s">
        <v>223</v>
      </c>
      <c r="B18">
        <v>8843</v>
      </c>
      <c r="C18">
        <v>54</v>
      </c>
    </row>
    <row r="19" spans="1:3" x14ac:dyDescent="0.3">
      <c r="A19" t="s">
        <v>224</v>
      </c>
      <c r="B19">
        <v>6226</v>
      </c>
      <c r="C19">
        <v>37</v>
      </c>
    </row>
    <row r="20" spans="1:3" x14ac:dyDescent="0.3">
      <c r="A20" t="s">
        <v>225</v>
      </c>
      <c r="B20">
        <v>13354</v>
      </c>
      <c r="C20">
        <v>66</v>
      </c>
    </row>
    <row r="21" spans="1:3" x14ac:dyDescent="0.3">
      <c r="A21" t="s">
        <v>226</v>
      </c>
      <c r="B21">
        <v>12294</v>
      </c>
      <c r="C21">
        <v>98</v>
      </c>
    </row>
    <row r="22" spans="1:3" x14ac:dyDescent="0.3">
      <c r="A22" t="s">
        <v>227</v>
      </c>
      <c r="B22">
        <v>11544</v>
      </c>
      <c r="C22">
        <v>79</v>
      </c>
    </row>
    <row r="23" spans="1:3" x14ac:dyDescent="0.3">
      <c r="A23" t="s">
        <v>228</v>
      </c>
      <c r="B23">
        <v>45194</v>
      </c>
      <c r="C23">
        <v>155</v>
      </c>
    </row>
    <row r="24" spans="1:3" x14ac:dyDescent="0.3">
      <c r="A24" t="s">
        <v>229</v>
      </c>
      <c r="B24">
        <v>19475</v>
      </c>
      <c r="C24">
        <v>53</v>
      </c>
    </row>
    <row r="25" spans="1:3" x14ac:dyDescent="0.3">
      <c r="A25" t="s">
        <v>230</v>
      </c>
      <c r="B25">
        <v>28103</v>
      </c>
      <c r="C25">
        <v>53</v>
      </c>
    </row>
    <row r="26" spans="1:3" x14ac:dyDescent="0.3">
      <c r="A26" t="s">
        <v>231</v>
      </c>
      <c r="B26">
        <v>10200</v>
      </c>
      <c r="C26">
        <v>80</v>
      </c>
    </row>
    <row r="27" spans="1:3" x14ac:dyDescent="0.3">
      <c r="A27" t="s">
        <v>232</v>
      </c>
      <c r="B27">
        <v>7990</v>
      </c>
      <c r="C27">
        <v>76</v>
      </c>
    </row>
    <row r="28" spans="1:3" x14ac:dyDescent="0.3">
      <c r="A28" t="s">
        <v>233</v>
      </c>
      <c r="B28">
        <v>352</v>
      </c>
      <c r="C28">
        <v>0</v>
      </c>
    </row>
    <row r="29" spans="1:3" x14ac:dyDescent="0.3">
      <c r="A29" t="s">
        <v>234</v>
      </c>
      <c r="B29">
        <v>7218</v>
      </c>
      <c r="C29">
        <v>25</v>
      </c>
    </row>
    <row r="30" spans="1:3" x14ac:dyDescent="0.3">
      <c r="A30" t="s">
        <v>235</v>
      </c>
      <c r="B30">
        <v>4086</v>
      </c>
      <c r="C30">
        <v>41</v>
      </c>
    </row>
    <row r="31" spans="1:3" x14ac:dyDescent="0.3">
      <c r="A31" t="s">
        <v>236</v>
      </c>
      <c r="B31">
        <v>7744</v>
      </c>
      <c r="C31">
        <v>59</v>
      </c>
    </row>
    <row r="32" spans="1:3" x14ac:dyDescent="0.3">
      <c r="A32" t="s">
        <v>237</v>
      </c>
      <c r="B32">
        <v>9524</v>
      </c>
      <c r="C32">
        <v>38</v>
      </c>
    </row>
    <row r="33" spans="1:3" x14ac:dyDescent="0.3">
      <c r="A33" t="s">
        <v>238</v>
      </c>
      <c r="B33">
        <v>11853</v>
      </c>
      <c r="C33">
        <v>44</v>
      </c>
    </row>
    <row r="34" spans="1:3" x14ac:dyDescent="0.3">
      <c r="A34" t="s">
        <v>239</v>
      </c>
      <c r="B34">
        <v>11563</v>
      </c>
      <c r="C34">
        <v>115</v>
      </c>
    </row>
    <row r="35" spans="1:3" x14ac:dyDescent="0.3">
      <c r="A35" t="s">
        <v>240</v>
      </c>
      <c r="B35">
        <v>7537</v>
      </c>
      <c r="C35">
        <v>65</v>
      </c>
    </row>
    <row r="36" spans="1:3" x14ac:dyDescent="0.3">
      <c r="A36" t="s">
        <v>241</v>
      </c>
      <c r="B36">
        <v>9067</v>
      </c>
      <c r="C36">
        <v>76</v>
      </c>
    </row>
    <row r="37" spans="1:3" x14ac:dyDescent="0.3">
      <c r="A37" t="s">
        <v>242</v>
      </c>
      <c r="B37">
        <v>18130</v>
      </c>
      <c r="C37">
        <v>82</v>
      </c>
    </row>
    <row r="38" spans="1:3" x14ac:dyDescent="0.3">
      <c r="A38" t="s">
        <v>243</v>
      </c>
      <c r="B38">
        <v>17900</v>
      </c>
      <c r="C38">
        <v>69</v>
      </c>
    </row>
    <row r="39" spans="1:3" x14ac:dyDescent="0.3">
      <c r="A39" t="s">
        <v>244</v>
      </c>
      <c r="B39">
        <v>16368</v>
      </c>
      <c r="C39">
        <v>80</v>
      </c>
    </row>
    <row r="40" spans="1:3" x14ac:dyDescent="0.3">
      <c r="A40" t="s">
        <v>245</v>
      </c>
      <c r="B40">
        <v>7887</v>
      </c>
      <c r="C40">
        <v>70</v>
      </c>
    </row>
    <row r="41" spans="1:3" x14ac:dyDescent="0.3">
      <c r="A41" t="s">
        <v>246</v>
      </c>
      <c r="B41">
        <v>11871</v>
      </c>
      <c r="C41">
        <v>115</v>
      </c>
    </row>
    <row r="42" spans="1:3" x14ac:dyDescent="0.3">
      <c r="A42" t="s">
        <v>247</v>
      </c>
      <c r="B42">
        <v>15436</v>
      </c>
      <c r="C42">
        <v>95</v>
      </c>
    </row>
    <row r="43" spans="1:3" x14ac:dyDescent="0.3">
      <c r="A43" t="s">
        <v>248</v>
      </c>
      <c r="B43">
        <v>10787</v>
      </c>
      <c r="C43">
        <v>55</v>
      </c>
    </row>
    <row r="44" spans="1:3" x14ac:dyDescent="0.3">
      <c r="A44" t="s">
        <v>249</v>
      </c>
      <c r="B44">
        <v>10723</v>
      </c>
      <c r="C44">
        <v>70</v>
      </c>
    </row>
    <row r="45" spans="1:3" x14ac:dyDescent="0.3">
      <c r="A45" t="s">
        <v>250</v>
      </c>
    </row>
    <row r="46" spans="1:3" x14ac:dyDescent="0.3">
      <c r="A46" t="s">
        <v>251</v>
      </c>
      <c r="B46">
        <v>29544</v>
      </c>
      <c r="C46">
        <v>650</v>
      </c>
    </row>
    <row r="47" spans="1:3" x14ac:dyDescent="0.3">
      <c r="A47" t="s">
        <v>252</v>
      </c>
      <c r="B47">
        <v>5554</v>
      </c>
      <c r="C47">
        <v>65</v>
      </c>
    </row>
    <row r="48" spans="1:3" x14ac:dyDescent="0.3">
      <c r="A48" t="s">
        <v>253</v>
      </c>
      <c r="B48">
        <v>7145</v>
      </c>
      <c r="C48">
        <v>362</v>
      </c>
    </row>
    <row r="49" spans="1:3" x14ac:dyDescent="0.3">
      <c r="A49" t="s">
        <v>254</v>
      </c>
      <c r="B49">
        <v>24469</v>
      </c>
      <c r="C49">
        <v>693</v>
      </c>
    </row>
    <row r="50" spans="1:3" x14ac:dyDescent="0.3">
      <c r="A50" t="s">
        <v>255</v>
      </c>
      <c r="B50">
        <v>33138</v>
      </c>
      <c r="C50">
        <v>455</v>
      </c>
    </row>
    <row r="51" spans="1:3" x14ac:dyDescent="0.3">
      <c r="A51" t="s">
        <v>256</v>
      </c>
      <c r="B51">
        <v>2128</v>
      </c>
      <c r="C51">
        <v>31</v>
      </c>
    </row>
    <row r="52" spans="1:3" x14ac:dyDescent="0.3">
      <c r="A52" t="s">
        <v>257</v>
      </c>
      <c r="B52">
        <v>3040</v>
      </c>
      <c r="C52">
        <v>44</v>
      </c>
    </row>
    <row r="53" spans="1:3" x14ac:dyDescent="0.3">
      <c r="A53" t="s">
        <v>258</v>
      </c>
      <c r="B53">
        <v>5008</v>
      </c>
      <c r="C53">
        <v>70</v>
      </c>
    </row>
    <row r="54" spans="1:3" x14ac:dyDescent="0.3">
      <c r="A54" t="s">
        <v>259</v>
      </c>
      <c r="B54">
        <v>6720</v>
      </c>
      <c r="C54">
        <v>92</v>
      </c>
    </row>
    <row r="55" spans="1:3" x14ac:dyDescent="0.3">
      <c r="A55" t="s">
        <v>260</v>
      </c>
      <c r="B55">
        <v>16504</v>
      </c>
      <c r="C55">
        <v>552</v>
      </c>
    </row>
    <row r="56" spans="1:3" x14ac:dyDescent="0.3">
      <c r="A56" t="s">
        <v>261</v>
      </c>
      <c r="B56">
        <v>25456</v>
      </c>
      <c r="C56">
        <v>862</v>
      </c>
    </row>
    <row r="57" spans="1:3" x14ac:dyDescent="0.3">
      <c r="A57" t="s">
        <v>262</v>
      </c>
      <c r="B57">
        <v>12484</v>
      </c>
      <c r="C57">
        <v>590</v>
      </c>
    </row>
    <row r="58" spans="1:3" x14ac:dyDescent="0.3">
      <c r="A58" t="s">
        <v>263</v>
      </c>
      <c r="B58">
        <v>32096</v>
      </c>
      <c r="C58">
        <v>706</v>
      </c>
    </row>
    <row r="59" spans="1:3" x14ac:dyDescent="0.3">
      <c r="A59" t="s">
        <v>264</v>
      </c>
      <c r="B59">
        <v>14340</v>
      </c>
      <c r="C59">
        <v>541</v>
      </c>
    </row>
    <row r="60" spans="1:3" x14ac:dyDescent="0.3">
      <c r="A60" t="s">
        <v>265</v>
      </c>
      <c r="B60">
        <v>13239</v>
      </c>
      <c r="C60">
        <v>543</v>
      </c>
    </row>
    <row r="61" spans="1:3" x14ac:dyDescent="0.3">
      <c r="A61" t="s">
        <v>266</v>
      </c>
      <c r="B61">
        <v>12641</v>
      </c>
      <c r="C61">
        <v>433</v>
      </c>
    </row>
    <row r="62" spans="1:3" x14ac:dyDescent="0.3">
      <c r="A62" t="s">
        <v>267</v>
      </c>
      <c r="B62">
        <v>9739</v>
      </c>
      <c r="C62">
        <v>303</v>
      </c>
    </row>
    <row r="63" spans="1:3" x14ac:dyDescent="0.3">
      <c r="A63" t="s">
        <v>268</v>
      </c>
      <c r="B63">
        <v>5750</v>
      </c>
      <c r="C63">
        <v>117</v>
      </c>
    </row>
    <row r="64" spans="1:3" x14ac:dyDescent="0.3">
      <c r="A64" t="s">
        <v>269</v>
      </c>
      <c r="B64">
        <v>6268</v>
      </c>
      <c r="C64">
        <v>125</v>
      </c>
    </row>
    <row r="65" spans="1:3" x14ac:dyDescent="0.3">
      <c r="A65" t="s">
        <v>270</v>
      </c>
      <c r="B65">
        <v>3856</v>
      </c>
      <c r="C65">
        <v>86</v>
      </c>
    </row>
    <row r="66" spans="1:3" x14ac:dyDescent="0.3">
      <c r="A66" t="s">
        <v>271</v>
      </c>
      <c r="B66">
        <v>12538</v>
      </c>
      <c r="C66">
        <v>379</v>
      </c>
    </row>
    <row r="67" spans="1:3" x14ac:dyDescent="0.3">
      <c r="A67" t="s">
        <v>272</v>
      </c>
      <c r="B67">
        <v>13992</v>
      </c>
      <c r="C67">
        <v>425</v>
      </c>
    </row>
    <row r="68" spans="1:3" x14ac:dyDescent="0.3">
      <c r="A68" t="s">
        <v>273</v>
      </c>
      <c r="B68">
        <v>14657</v>
      </c>
      <c r="C68">
        <v>382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528F-2094-4AD3-BA6E-C853CC0D5172}">
  <dimension ref="A1:S97"/>
  <sheetViews>
    <sheetView topLeftCell="A40" workbookViewId="0">
      <selection activeCell="F68" sqref="F68"/>
    </sheetView>
  </sheetViews>
  <sheetFormatPr defaultRowHeight="14" x14ac:dyDescent="0.3"/>
  <cols>
    <col min="1" max="1" width="8.33203125" customWidth="1"/>
    <col min="2" max="2" width="22.1640625" customWidth="1"/>
    <col min="3" max="3" width="12.5" customWidth="1"/>
    <col min="4" max="4" width="26.1640625" customWidth="1"/>
    <col min="6" max="6" width="14.1640625" customWidth="1"/>
    <col min="7" max="7" width="25.6640625" customWidth="1"/>
    <col min="8" max="8" width="11.25" customWidth="1"/>
    <col min="10" max="10" width="19.58203125" customWidth="1"/>
    <col min="17" max="17" width="26.75" customWidth="1"/>
    <col min="18" max="19" width="8.6640625" style="5"/>
  </cols>
  <sheetData>
    <row r="1" spans="1:19" x14ac:dyDescent="0.3">
      <c r="A1" t="s">
        <v>31</v>
      </c>
    </row>
    <row r="2" spans="1:19" x14ac:dyDescent="0.3">
      <c r="A2" t="s">
        <v>32</v>
      </c>
    </row>
    <row r="3" spans="1:19" x14ac:dyDescent="0.3">
      <c r="A3" t="s">
        <v>33</v>
      </c>
    </row>
    <row r="4" spans="1:19" x14ac:dyDescent="0.3">
      <c r="A4" t="s">
        <v>35</v>
      </c>
    </row>
    <row r="5" spans="1:19" x14ac:dyDescent="0.3">
      <c r="A5" t="s">
        <v>34</v>
      </c>
    </row>
    <row r="6" spans="1:19" x14ac:dyDescent="0.3">
      <c r="A6" s="21" t="s">
        <v>161</v>
      </c>
    </row>
    <row r="7" spans="1:19" x14ac:dyDescent="0.3">
      <c r="A7" s="19" t="s">
        <v>162</v>
      </c>
    </row>
    <row r="8" spans="1:19" x14ac:dyDescent="0.3">
      <c r="B8" t="s">
        <v>116</v>
      </c>
      <c r="R8" s="5" t="s">
        <v>117</v>
      </c>
    </row>
    <row r="9" spans="1:19" x14ac:dyDescent="0.3">
      <c r="A9" s="11"/>
    </row>
    <row r="10" spans="1:19" x14ac:dyDescent="0.3">
      <c r="A10" s="11"/>
      <c r="B10" s="15" t="s">
        <v>48</v>
      </c>
      <c r="C10" s="17" t="s">
        <v>163</v>
      </c>
      <c r="D10" s="2"/>
      <c r="E10" s="2"/>
      <c r="F10" s="2"/>
      <c r="G10" s="2"/>
      <c r="H10" s="2"/>
      <c r="I10" s="2"/>
      <c r="J10" s="2"/>
      <c r="R10" s="63" t="s">
        <v>48</v>
      </c>
      <c r="S10" s="64" t="s">
        <v>163</v>
      </c>
    </row>
    <row r="11" spans="1:19" x14ac:dyDescent="0.3">
      <c r="A11" s="11"/>
      <c r="B11" s="2" t="s">
        <v>47</v>
      </c>
      <c r="C11" t="s">
        <v>123</v>
      </c>
      <c r="D11" s="2" t="s">
        <v>49</v>
      </c>
      <c r="E11" s="2" t="s">
        <v>50</v>
      </c>
      <c r="F11" s="2" t="s">
        <v>49</v>
      </c>
      <c r="G11" s="14" t="s">
        <v>51</v>
      </c>
      <c r="H11" s="2" t="s">
        <v>52</v>
      </c>
      <c r="I11" s="2" t="s">
        <v>49</v>
      </c>
      <c r="J11" s="14" t="s">
        <v>53</v>
      </c>
      <c r="R11" s="5" t="s">
        <v>124</v>
      </c>
      <c r="S11" s="5" t="s">
        <v>125</v>
      </c>
    </row>
    <row r="12" spans="1:19" s="19" customFormat="1" x14ac:dyDescent="0.3">
      <c r="B12" s="40" t="s">
        <v>344</v>
      </c>
      <c r="C12" s="19">
        <v>2405</v>
      </c>
      <c r="D12" s="19">
        <v>3</v>
      </c>
      <c r="E12" s="19">
        <v>1.3</v>
      </c>
      <c r="F12" s="19">
        <v>0.3</v>
      </c>
      <c r="G12" s="19">
        <v>1</v>
      </c>
      <c r="H12" s="19" t="s">
        <v>56</v>
      </c>
      <c r="J12" s="19">
        <v>1</v>
      </c>
      <c r="Q12" s="20" t="s">
        <v>119</v>
      </c>
      <c r="R12" s="66">
        <v>1494.5054945054901</v>
      </c>
      <c r="S12" s="66">
        <v>0</v>
      </c>
    </row>
    <row r="13" spans="1:19" s="19" customFormat="1" x14ac:dyDescent="0.3">
      <c r="B13" s="19" t="s">
        <v>58</v>
      </c>
      <c r="C13" s="19">
        <v>3335</v>
      </c>
      <c r="D13" s="19">
        <v>5</v>
      </c>
      <c r="E13" s="19">
        <v>89</v>
      </c>
      <c r="F13" s="19">
        <v>2</v>
      </c>
      <c r="G13" s="19">
        <v>0.99</v>
      </c>
      <c r="H13" s="19">
        <v>0.7</v>
      </c>
      <c r="I13" s="19">
        <v>0.09</v>
      </c>
      <c r="J13" s="19">
        <v>1</v>
      </c>
      <c r="L13" s="32"/>
      <c r="Q13" s="20" t="s">
        <v>120</v>
      </c>
      <c r="R13" s="66">
        <v>1890.1098901098901</v>
      </c>
      <c r="S13" s="66">
        <v>109.89010989011099</v>
      </c>
    </row>
    <row r="14" spans="1:19" s="19" customFormat="1" x14ac:dyDescent="0.3">
      <c r="B14" s="19" t="s">
        <v>59</v>
      </c>
      <c r="C14" s="19">
        <v>2445</v>
      </c>
      <c r="D14" s="19">
        <v>6</v>
      </c>
      <c r="E14" s="19">
        <v>1293</v>
      </c>
      <c r="F14" s="19">
        <v>9</v>
      </c>
      <c r="G14" s="19">
        <v>0.72</v>
      </c>
      <c r="H14" s="19">
        <v>8</v>
      </c>
      <c r="I14" s="19">
        <v>1</v>
      </c>
      <c r="J14" s="19">
        <v>1</v>
      </c>
      <c r="L14" s="32"/>
      <c r="Q14" s="20" t="s">
        <v>121</v>
      </c>
      <c r="R14" s="66">
        <v>1186.81318681318</v>
      </c>
      <c r="S14" s="66">
        <v>285.71428571428595</v>
      </c>
    </row>
    <row r="15" spans="1:19" s="19" customFormat="1" x14ac:dyDescent="0.3">
      <c r="B15" s="19" t="s">
        <v>60</v>
      </c>
      <c r="C15" s="19">
        <v>2031</v>
      </c>
      <c r="D15" s="19">
        <v>8</v>
      </c>
      <c r="E15" s="19">
        <v>2358</v>
      </c>
      <c r="F15" s="19">
        <v>29</v>
      </c>
      <c r="G15" s="19">
        <v>0.39</v>
      </c>
      <c r="H15" s="19">
        <v>37</v>
      </c>
      <c r="I15" s="19">
        <v>5</v>
      </c>
      <c r="J15" s="19">
        <v>0.99</v>
      </c>
      <c r="L15" s="32"/>
      <c r="Q15" s="20" t="s">
        <v>122</v>
      </c>
      <c r="R15" s="66">
        <v>615.38461538461502</v>
      </c>
      <c r="S15" s="66">
        <v>230.769230769231</v>
      </c>
    </row>
    <row r="16" spans="1:19" s="19" customFormat="1" x14ac:dyDescent="0.3">
      <c r="B16" s="40" t="s">
        <v>63</v>
      </c>
      <c r="C16" s="19">
        <v>849</v>
      </c>
      <c r="D16" s="19">
        <v>4</v>
      </c>
      <c r="E16" s="19">
        <v>1561</v>
      </c>
      <c r="F16" s="19">
        <v>6</v>
      </c>
      <c r="G16" s="19">
        <v>0.03</v>
      </c>
      <c r="H16" s="19">
        <v>285</v>
      </c>
      <c r="I16" s="19">
        <v>8</v>
      </c>
      <c r="J16" s="19">
        <v>0.8</v>
      </c>
      <c r="L16" s="32"/>
      <c r="Q16" s="20" t="s">
        <v>127</v>
      </c>
      <c r="R16" s="66">
        <v>567.76556776556697</v>
      </c>
      <c r="S16" s="66">
        <v>250.53838099999999</v>
      </c>
    </row>
    <row r="17" spans="1:19" s="19" customFormat="1" x14ac:dyDescent="0.3">
      <c r="B17" s="19" t="s">
        <v>64</v>
      </c>
      <c r="C17" s="19">
        <v>853</v>
      </c>
      <c r="D17" s="19">
        <v>6</v>
      </c>
      <c r="E17" s="19">
        <v>1687</v>
      </c>
      <c r="F17" s="19">
        <v>4</v>
      </c>
      <c r="G17" s="19">
        <v>0</v>
      </c>
      <c r="H17" s="19">
        <v>437</v>
      </c>
      <c r="I17" s="19">
        <v>3</v>
      </c>
      <c r="J17" s="19">
        <v>0.7</v>
      </c>
      <c r="L17" s="32"/>
      <c r="Q17" s="20" t="s">
        <v>128</v>
      </c>
      <c r="R17" s="66">
        <v>578.75457875457801</v>
      </c>
      <c r="S17" s="66">
        <v>320.24111399999998</v>
      </c>
    </row>
    <row r="18" spans="1:19" s="19" customFormat="1" x14ac:dyDescent="0.3">
      <c r="B18" s="19" t="s">
        <v>65</v>
      </c>
      <c r="C18" s="19">
        <v>601</v>
      </c>
      <c r="D18" s="19">
        <v>3</v>
      </c>
      <c r="E18" s="19">
        <v>1166</v>
      </c>
      <c r="F18" s="19">
        <v>3</v>
      </c>
      <c r="G18" s="19">
        <v>0</v>
      </c>
      <c r="H18" s="19">
        <v>281</v>
      </c>
      <c r="I18" s="19">
        <v>1</v>
      </c>
      <c r="J18" s="19">
        <v>0.73</v>
      </c>
      <c r="L18" s="32"/>
      <c r="Q18" s="20" t="s">
        <v>129</v>
      </c>
      <c r="R18" s="66">
        <v>358.97435897435798</v>
      </c>
      <c r="S18" s="66">
        <v>203.13569200000001</v>
      </c>
    </row>
    <row r="19" spans="1:19" s="19" customFormat="1" x14ac:dyDescent="0.3">
      <c r="B19" s="19" t="s">
        <v>66</v>
      </c>
      <c r="C19" s="19">
        <v>330</v>
      </c>
      <c r="D19" s="19">
        <v>1</v>
      </c>
      <c r="E19" s="19">
        <v>649</v>
      </c>
      <c r="F19" s="19">
        <v>7</v>
      </c>
      <c r="G19" s="19">
        <v>0</v>
      </c>
      <c r="H19" s="19">
        <v>152</v>
      </c>
      <c r="I19" s="19">
        <v>9</v>
      </c>
      <c r="J19" s="19">
        <v>0.73</v>
      </c>
      <c r="L19" s="32"/>
      <c r="Q19" s="20" t="s">
        <v>130</v>
      </c>
      <c r="R19" s="66">
        <v>260.07326007325997</v>
      </c>
      <c r="S19" s="66">
        <v>144.633297</v>
      </c>
    </row>
    <row r="20" spans="1:19" s="19" customFormat="1" x14ac:dyDescent="0.3">
      <c r="B20" s="40" t="s">
        <v>72</v>
      </c>
      <c r="C20" s="19">
        <v>384</v>
      </c>
      <c r="D20" s="19">
        <v>7</v>
      </c>
      <c r="E20" s="19">
        <v>514</v>
      </c>
      <c r="F20" s="19">
        <v>8</v>
      </c>
      <c r="G20" s="19">
        <v>0.28999999999999998</v>
      </c>
      <c r="H20" s="19">
        <v>17</v>
      </c>
      <c r="I20" s="19">
        <v>2</v>
      </c>
      <c r="J20" s="19">
        <v>0.97</v>
      </c>
      <c r="L20" s="32"/>
      <c r="Q20" s="20" t="s">
        <v>137</v>
      </c>
      <c r="R20" s="66">
        <v>201.46520146520101</v>
      </c>
      <c r="S20" s="66">
        <v>99.389164000000008</v>
      </c>
    </row>
    <row r="21" spans="1:19" s="19" customFormat="1" x14ac:dyDescent="0.3">
      <c r="B21" s="19" t="s">
        <v>73</v>
      </c>
      <c r="C21" s="19">
        <v>409</v>
      </c>
      <c r="D21" s="19">
        <v>5</v>
      </c>
      <c r="E21" s="19">
        <v>709</v>
      </c>
      <c r="F21" s="19">
        <v>5</v>
      </c>
      <c r="G21" s="19">
        <v>0.09</v>
      </c>
      <c r="H21" s="19">
        <v>42</v>
      </c>
      <c r="I21" s="19">
        <v>3</v>
      </c>
      <c r="J21" s="19">
        <v>0.94</v>
      </c>
      <c r="L21" s="32"/>
      <c r="Q21" s="20" t="s">
        <v>138</v>
      </c>
      <c r="R21" s="66">
        <v>271.06227106227101</v>
      </c>
      <c r="S21" s="66">
        <v>180.08090800000002</v>
      </c>
    </row>
    <row r="22" spans="1:19" s="19" customFormat="1" x14ac:dyDescent="0.3">
      <c r="B22" s="46" t="s">
        <v>378</v>
      </c>
      <c r="C22" s="19">
        <v>368</v>
      </c>
      <c r="D22" s="19">
        <v>3</v>
      </c>
      <c r="E22" s="19">
        <v>675</v>
      </c>
      <c r="F22" s="19">
        <v>9</v>
      </c>
      <c r="G22" s="19">
        <v>0.03</v>
      </c>
      <c r="H22" s="19">
        <v>72</v>
      </c>
      <c r="I22" s="19">
        <v>8</v>
      </c>
      <c r="J22" s="19">
        <v>0.89</v>
      </c>
      <c r="L22" s="32"/>
      <c r="Q22" s="20" t="s">
        <v>139</v>
      </c>
      <c r="R22" s="66">
        <v>238.09523809523799</v>
      </c>
      <c r="S22" s="66">
        <v>169.19756100000001</v>
      </c>
    </row>
    <row r="23" spans="1:19" s="19" customFormat="1" x14ac:dyDescent="0.3">
      <c r="B23" s="40" t="s">
        <v>77</v>
      </c>
      <c r="C23" s="19">
        <v>92</v>
      </c>
      <c r="D23" s="19">
        <v>4</v>
      </c>
      <c r="E23" s="19">
        <v>182</v>
      </c>
      <c r="F23" s="19">
        <v>1</v>
      </c>
      <c r="G23" s="19">
        <v>0</v>
      </c>
      <c r="H23" s="19">
        <v>63</v>
      </c>
      <c r="I23" s="19">
        <v>4</v>
      </c>
      <c r="J23" s="19">
        <v>0.6</v>
      </c>
      <c r="L23" s="32"/>
      <c r="Q23" s="20" t="s">
        <v>141</v>
      </c>
      <c r="R23" s="66">
        <v>95.238095238095198</v>
      </c>
      <c r="S23" s="66">
        <v>61.138953000000001</v>
      </c>
    </row>
    <row r="24" spans="1:19" s="19" customFormat="1" x14ac:dyDescent="0.3">
      <c r="B24" s="19" t="s">
        <v>78</v>
      </c>
      <c r="C24" s="19">
        <v>105</v>
      </c>
      <c r="D24" s="19">
        <v>1</v>
      </c>
      <c r="E24" s="19">
        <v>220</v>
      </c>
      <c r="F24" s="19">
        <v>2</v>
      </c>
      <c r="G24" s="19">
        <v>0</v>
      </c>
      <c r="H24" s="19">
        <v>44</v>
      </c>
      <c r="I24" s="19">
        <v>2</v>
      </c>
      <c r="J24" s="19">
        <v>0.76</v>
      </c>
      <c r="L24" s="32"/>
      <c r="Q24" s="20" t="s">
        <v>142</v>
      </c>
      <c r="R24" s="66">
        <v>128.20512820512801</v>
      </c>
      <c r="S24" s="66">
        <v>64.912650999999997</v>
      </c>
    </row>
    <row r="25" spans="1:19" s="19" customFormat="1" x14ac:dyDescent="0.3">
      <c r="B25" s="46" t="s">
        <v>379</v>
      </c>
      <c r="C25" s="19">
        <v>72</v>
      </c>
      <c r="D25" s="19">
        <v>1</v>
      </c>
      <c r="E25" s="19">
        <v>157</v>
      </c>
      <c r="F25" s="19">
        <v>3</v>
      </c>
      <c r="G25" s="19">
        <v>0</v>
      </c>
      <c r="H25" s="19">
        <v>17.3</v>
      </c>
      <c r="I25" s="19">
        <v>0.8</v>
      </c>
      <c r="J25" s="19">
        <v>0.86</v>
      </c>
      <c r="L25" s="32"/>
      <c r="Q25" s="20" t="s">
        <v>143</v>
      </c>
      <c r="R25" s="66">
        <v>84.249084249084206</v>
      </c>
      <c r="S25" s="66">
        <v>43.035260999999998</v>
      </c>
    </row>
    <row r="26" spans="1:19" s="10" customFormat="1" x14ac:dyDescent="0.3">
      <c r="A26" s="10" t="s">
        <v>54</v>
      </c>
      <c r="B26" s="10" t="s">
        <v>55</v>
      </c>
      <c r="C26" s="10">
        <v>712</v>
      </c>
      <c r="D26" s="10">
        <v>3</v>
      </c>
      <c r="E26" s="10" t="s">
        <v>56</v>
      </c>
      <c r="G26" s="10">
        <v>1</v>
      </c>
      <c r="H26" s="10" t="s">
        <v>56</v>
      </c>
      <c r="J26" s="10">
        <v>1</v>
      </c>
      <c r="L26" s="32"/>
      <c r="Q26" s="18" t="s">
        <v>118</v>
      </c>
      <c r="R26" s="65">
        <v>681.318681318681</v>
      </c>
      <c r="S26" s="65">
        <v>0</v>
      </c>
    </row>
    <row r="27" spans="1:19" s="10" customFormat="1" x14ac:dyDescent="0.3">
      <c r="A27" s="10" t="s">
        <v>61</v>
      </c>
      <c r="B27" s="10" t="s">
        <v>62</v>
      </c>
      <c r="C27" s="10">
        <v>297</v>
      </c>
      <c r="D27" s="10">
        <v>1</v>
      </c>
      <c r="E27" s="10">
        <v>474</v>
      </c>
      <c r="F27" s="10">
        <v>8</v>
      </c>
      <c r="G27" s="10">
        <v>0.16</v>
      </c>
      <c r="H27" s="10">
        <v>28</v>
      </c>
      <c r="I27" s="10">
        <v>3</v>
      </c>
      <c r="J27" s="10">
        <v>0.94</v>
      </c>
      <c r="L27" s="32"/>
      <c r="Q27" s="18" t="s">
        <v>126</v>
      </c>
      <c r="R27" s="65">
        <v>249.084249084248</v>
      </c>
      <c r="S27" s="65">
        <v>78.266514000000001</v>
      </c>
    </row>
    <row r="28" spans="1:19" s="10" customFormat="1" x14ac:dyDescent="0.3">
      <c r="A28" s="67" t="s">
        <v>623</v>
      </c>
      <c r="B28" s="10" t="s">
        <v>71</v>
      </c>
      <c r="C28" s="10">
        <v>123</v>
      </c>
      <c r="D28" s="10">
        <v>1</v>
      </c>
      <c r="E28" s="10">
        <v>77</v>
      </c>
      <c r="F28" s="10">
        <v>0.4</v>
      </c>
      <c r="G28" s="10">
        <v>0.67</v>
      </c>
      <c r="H28" s="10">
        <v>0.57999999999999996</v>
      </c>
      <c r="I28" s="10">
        <v>0.03</v>
      </c>
      <c r="J28" s="10">
        <v>1</v>
      </c>
      <c r="L28" s="32"/>
      <c r="Q28" s="18" t="s">
        <v>136</v>
      </c>
      <c r="R28" s="65">
        <v>87.912087912087898</v>
      </c>
      <c r="S28" s="65">
        <v>22.355392000000002</v>
      </c>
    </row>
    <row r="29" spans="1:19" s="10" customFormat="1" x14ac:dyDescent="0.3">
      <c r="A29" s="10" t="s">
        <v>75</v>
      </c>
      <c r="B29" s="10" t="s">
        <v>76</v>
      </c>
      <c r="C29" s="10">
        <v>49</v>
      </c>
      <c r="D29" s="10">
        <v>1</v>
      </c>
      <c r="E29" s="10">
        <v>95</v>
      </c>
      <c r="F29" s="10">
        <v>1</v>
      </c>
      <c r="G29" s="10">
        <v>0</v>
      </c>
      <c r="H29" s="10">
        <v>46</v>
      </c>
      <c r="I29" s="10">
        <v>4</v>
      </c>
      <c r="J29" s="10">
        <v>0.45</v>
      </c>
      <c r="L29" s="32"/>
      <c r="Q29" s="18" t="s">
        <v>140</v>
      </c>
      <c r="R29" s="65">
        <v>47.619047619047599</v>
      </c>
      <c r="S29" s="65">
        <v>31.724228</v>
      </c>
    </row>
    <row r="30" spans="1:19" s="10" customFormat="1" x14ac:dyDescent="0.3">
      <c r="A30" s="10" t="s">
        <v>82</v>
      </c>
      <c r="B30" s="10" t="s">
        <v>83</v>
      </c>
      <c r="C30" s="10">
        <v>5.2</v>
      </c>
      <c r="D30" s="10">
        <v>0.7</v>
      </c>
      <c r="E30" s="10">
        <v>1.4</v>
      </c>
      <c r="F30" s="10">
        <v>0.1</v>
      </c>
      <c r="G30" s="10">
        <v>0.86</v>
      </c>
      <c r="H30" s="10" t="s">
        <v>56</v>
      </c>
      <c r="J30" s="10">
        <v>1</v>
      </c>
      <c r="L30" s="32"/>
      <c r="Q30" s="18" t="s">
        <v>145</v>
      </c>
      <c r="R30" s="65">
        <v>10.9890109890107</v>
      </c>
      <c r="S30" s="65">
        <v>0</v>
      </c>
    </row>
    <row r="31" spans="1:19" s="10" customFormat="1" x14ac:dyDescent="0.3">
      <c r="A31" s="10" t="s">
        <v>84</v>
      </c>
      <c r="B31" s="10" t="s">
        <v>85</v>
      </c>
      <c r="C31" s="10">
        <v>58</v>
      </c>
      <c r="D31" s="10">
        <v>2</v>
      </c>
      <c r="E31" s="10">
        <v>33</v>
      </c>
      <c r="F31" s="10">
        <v>1</v>
      </c>
      <c r="G31" s="10">
        <v>0.71</v>
      </c>
      <c r="H31" s="10" t="s">
        <v>56</v>
      </c>
      <c r="J31" s="10">
        <v>1</v>
      </c>
      <c r="L31" s="32"/>
      <c r="Q31" s="18" t="s">
        <v>146</v>
      </c>
      <c r="R31" s="65">
        <v>7.3260073260073</v>
      </c>
      <c r="S31" s="65">
        <v>0</v>
      </c>
    </row>
    <row r="32" spans="1:19" s="10" customFormat="1" x14ac:dyDescent="0.3">
      <c r="A32" s="10" t="s">
        <v>86</v>
      </c>
      <c r="B32" s="10" t="s">
        <v>87</v>
      </c>
      <c r="C32" s="10">
        <v>5.4</v>
      </c>
      <c r="D32" s="10">
        <v>0.4</v>
      </c>
      <c r="E32" s="10">
        <v>11</v>
      </c>
      <c r="F32" s="10">
        <v>1</v>
      </c>
      <c r="G32" s="10">
        <v>0</v>
      </c>
      <c r="H32" s="10">
        <v>1</v>
      </c>
      <c r="I32" s="10">
        <v>0.1</v>
      </c>
      <c r="J32" s="10">
        <v>0.89</v>
      </c>
      <c r="L32" s="32"/>
      <c r="Q32" s="18" t="s">
        <v>148</v>
      </c>
      <c r="R32" s="65">
        <v>10.9890109890107</v>
      </c>
      <c r="S32" s="65">
        <v>0</v>
      </c>
    </row>
    <row r="33" spans="1:19" s="10" customFormat="1" x14ac:dyDescent="0.3">
      <c r="A33" s="67" t="s">
        <v>624</v>
      </c>
      <c r="B33" s="10" t="s">
        <v>89</v>
      </c>
      <c r="C33" s="10">
        <v>6.2</v>
      </c>
      <c r="D33" s="10">
        <v>0.4</v>
      </c>
      <c r="E33" s="10">
        <v>13</v>
      </c>
      <c r="F33" s="10">
        <v>1</v>
      </c>
      <c r="G33" s="10">
        <v>0</v>
      </c>
      <c r="H33" s="10">
        <v>3.9</v>
      </c>
      <c r="I33" s="10">
        <v>0.7</v>
      </c>
      <c r="J33" s="10">
        <v>0.63</v>
      </c>
      <c r="L33" s="32"/>
      <c r="Q33" s="18" t="s">
        <v>149</v>
      </c>
      <c r="R33" s="65">
        <v>7.3260073260073</v>
      </c>
      <c r="S33" s="65">
        <v>0</v>
      </c>
    </row>
    <row r="34" spans="1:19" s="10" customFormat="1" x14ac:dyDescent="0.3">
      <c r="A34" s="10" t="s">
        <v>90</v>
      </c>
      <c r="B34" s="10" t="s">
        <v>91</v>
      </c>
      <c r="C34" s="10">
        <v>17</v>
      </c>
      <c r="D34" s="10">
        <v>2</v>
      </c>
      <c r="E34" s="10">
        <v>35</v>
      </c>
      <c r="F34" s="10">
        <v>2</v>
      </c>
      <c r="G34" s="10">
        <v>0</v>
      </c>
      <c r="H34" s="10">
        <v>6.8</v>
      </c>
      <c r="I34" s="10">
        <v>0.6</v>
      </c>
      <c r="J34" s="10">
        <v>0.77</v>
      </c>
      <c r="L34" s="32"/>
      <c r="Q34" s="18" t="s">
        <v>150</v>
      </c>
      <c r="R34" s="65">
        <v>18.3150183150182</v>
      </c>
      <c r="S34" s="65">
        <v>9.4241840000000003</v>
      </c>
    </row>
    <row r="35" spans="1:19" s="10" customFormat="1" x14ac:dyDescent="0.3">
      <c r="A35" s="67" t="s">
        <v>625</v>
      </c>
      <c r="B35" s="10" t="s">
        <v>93</v>
      </c>
      <c r="C35" s="10">
        <v>9.6999999999999993</v>
      </c>
      <c r="D35" s="10">
        <v>0.9</v>
      </c>
      <c r="E35" s="10">
        <v>19</v>
      </c>
      <c r="F35" s="10">
        <v>1</v>
      </c>
      <c r="G35" s="10">
        <v>0</v>
      </c>
      <c r="H35" s="10">
        <v>0.35</v>
      </c>
      <c r="I35" s="10">
        <v>0.05</v>
      </c>
      <c r="J35" s="10">
        <v>0.98</v>
      </c>
      <c r="L35" s="32"/>
      <c r="Q35" s="18" t="s">
        <v>151</v>
      </c>
      <c r="R35" s="65">
        <v>7.3260073260073</v>
      </c>
      <c r="S35" s="65">
        <v>0</v>
      </c>
    </row>
    <row r="36" spans="1:19" s="10" customFormat="1" x14ac:dyDescent="0.3">
      <c r="A36" s="67" t="s">
        <v>626</v>
      </c>
      <c r="B36" s="10" t="s">
        <v>97</v>
      </c>
      <c r="C36" s="10">
        <v>8</v>
      </c>
      <c r="D36" s="10">
        <v>1</v>
      </c>
      <c r="E36" s="10">
        <v>20</v>
      </c>
      <c r="F36" s="10">
        <v>1</v>
      </c>
      <c r="G36" s="10">
        <v>0</v>
      </c>
      <c r="H36" s="10">
        <v>6.4</v>
      </c>
      <c r="I36" s="10">
        <v>0.7</v>
      </c>
      <c r="J36" s="10">
        <v>0.55000000000000004</v>
      </c>
      <c r="L36" s="32"/>
      <c r="Q36" s="18" t="s">
        <v>152</v>
      </c>
      <c r="R36" s="65">
        <v>7.3260073260073</v>
      </c>
      <c r="S36" s="65">
        <v>0</v>
      </c>
    </row>
    <row r="37" spans="1:19" s="10" customFormat="1" x14ac:dyDescent="0.3">
      <c r="A37" s="67" t="s">
        <v>627</v>
      </c>
      <c r="B37" s="10" t="s">
        <v>99</v>
      </c>
      <c r="C37" s="10">
        <v>2.8</v>
      </c>
      <c r="D37" s="10">
        <v>0.6</v>
      </c>
      <c r="E37" s="10">
        <v>6.1</v>
      </c>
      <c r="F37" s="10">
        <v>0.1</v>
      </c>
      <c r="G37" s="10">
        <v>0</v>
      </c>
      <c r="H37" s="10">
        <v>1.5</v>
      </c>
      <c r="I37" s="10">
        <v>0.3</v>
      </c>
      <c r="J37" s="10">
        <v>0.68</v>
      </c>
      <c r="L37" s="32"/>
      <c r="Q37" s="18" t="s">
        <v>153</v>
      </c>
      <c r="R37" s="65">
        <v>0</v>
      </c>
      <c r="S37" s="65">
        <v>0</v>
      </c>
    </row>
    <row r="38" spans="1:19" s="10" customFormat="1" x14ac:dyDescent="0.3">
      <c r="A38" s="67" t="s">
        <v>628</v>
      </c>
      <c r="B38" s="10" t="s">
        <v>105</v>
      </c>
      <c r="C38" s="10">
        <v>2.2999999999999998</v>
      </c>
      <c r="D38" s="10">
        <v>0.2</v>
      </c>
      <c r="E38" s="10">
        <v>3.9</v>
      </c>
      <c r="F38" s="10">
        <v>0.4</v>
      </c>
      <c r="G38" s="10">
        <v>0.11</v>
      </c>
      <c r="H38" s="10">
        <v>0.36</v>
      </c>
      <c r="I38" s="10">
        <v>0.05</v>
      </c>
      <c r="J38" s="10">
        <v>0.91</v>
      </c>
      <c r="L38" s="32"/>
      <c r="Q38" s="18" t="s">
        <v>155</v>
      </c>
      <c r="R38" s="65">
        <v>0</v>
      </c>
      <c r="S38" s="65">
        <v>0</v>
      </c>
    </row>
    <row r="39" spans="1:19" s="10" customFormat="1" x14ac:dyDescent="0.3">
      <c r="A39" s="67" t="s">
        <v>629</v>
      </c>
      <c r="B39" s="10" t="s">
        <v>111</v>
      </c>
      <c r="C39" s="10">
        <v>3</v>
      </c>
      <c r="D39" s="10">
        <v>0.8</v>
      </c>
      <c r="E39" s="10">
        <v>5.8</v>
      </c>
      <c r="F39" s="10">
        <v>0.4</v>
      </c>
      <c r="G39" s="10">
        <v>0</v>
      </c>
      <c r="H39" s="10">
        <v>0.8</v>
      </c>
      <c r="I39" s="10">
        <v>0.3</v>
      </c>
      <c r="J39" s="10">
        <v>0.84</v>
      </c>
      <c r="L39" s="32"/>
      <c r="Q39" s="18" t="s">
        <v>158</v>
      </c>
      <c r="R39" s="65">
        <v>0</v>
      </c>
      <c r="S39" s="65">
        <v>0</v>
      </c>
    </row>
    <row r="40" spans="1:19" s="10" customFormat="1" x14ac:dyDescent="0.3">
      <c r="A40" s="67" t="s">
        <v>630</v>
      </c>
      <c r="B40" s="10" t="s">
        <v>113</v>
      </c>
      <c r="C40" s="10">
        <v>1.4</v>
      </c>
      <c r="D40" s="10">
        <v>0.5</v>
      </c>
      <c r="E40" s="10">
        <v>2.7</v>
      </c>
      <c r="F40" s="10">
        <v>0.6</v>
      </c>
      <c r="G40" s="10">
        <v>0.03</v>
      </c>
      <c r="H40" s="10">
        <v>0.6</v>
      </c>
      <c r="I40" s="10">
        <v>0.2</v>
      </c>
      <c r="J40" s="10">
        <v>0.75</v>
      </c>
      <c r="L40" s="32"/>
      <c r="Q40" s="18" t="s">
        <v>157</v>
      </c>
      <c r="R40" s="65">
        <v>0</v>
      </c>
      <c r="S40" s="65">
        <v>0</v>
      </c>
    </row>
    <row r="41" spans="1:19" s="10" customFormat="1" x14ac:dyDescent="0.3">
      <c r="A41" s="77" t="s">
        <v>764</v>
      </c>
      <c r="B41" s="10" t="s">
        <v>115</v>
      </c>
      <c r="C41" s="10">
        <v>5</v>
      </c>
      <c r="D41" s="10">
        <v>1</v>
      </c>
      <c r="E41" s="10">
        <v>9.8000000000000007</v>
      </c>
      <c r="F41" s="10">
        <v>0.7</v>
      </c>
      <c r="G41" s="10">
        <v>0.01</v>
      </c>
      <c r="H41" s="10">
        <v>1.9</v>
      </c>
      <c r="I41" s="10">
        <v>0.5</v>
      </c>
      <c r="J41" s="10">
        <v>0.78</v>
      </c>
      <c r="L41" s="32"/>
      <c r="Q41" s="18" t="s">
        <v>159</v>
      </c>
      <c r="R41" s="65">
        <v>0</v>
      </c>
      <c r="S41" s="65">
        <v>0</v>
      </c>
    </row>
    <row r="42" spans="1:19" s="19" customFormat="1" x14ac:dyDescent="0.3">
      <c r="B42" s="19" t="s">
        <v>80</v>
      </c>
      <c r="C42" s="19">
        <v>36</v>
      </c>
      <c r="D42" s="19">
        <v>1</v>
      </c>
      <c r="E42" s="19">
        <v>83</v>
      </c>
      <c r="F42" s="19">
        <v>2</v>
      </c>
      <c r="G42" s="19">
        <v>0</v>
      </c>
      <c r="H42" s="19">
        <v>7.7</v>
      </c>
      <c r="I42" s="19">
        <v>0.5</v>
      </c>
      <c r="J42" s="19">
        <v>0.88</v>
      </c>
      <c r="L42" s="32"/>
      <c r="Q42" s="20" t="s">
        <v>144</v>
      </c>
      <c r="R42" s="66">
        <v>65.934065934065899</v>
      </c>
      <c r="S42" s="66">
        <v>35.819948999999994</v>
      </c>
    </row>
    <row r="44" spans="1:19" x14ac:dyDescent="0.3">
      <c r="B44" t="s">
        <v>160</v>
      </c>
      <c r="C44">
        <v>45</v>
      </c>
      <c r="D44">
        <v>1</v>
      </c>
      <c r="E44">
        <v>65</v>
      </c>
      <c r="F44">
        <v>1</v>
      </c>
      <c r="G44">
        <v>0.23</v>
      </c>
      <c r="H44">
        <v>2.7</v>
      </c>
      <c r="I44">
        <v>0.3</v>
      </c>
      <c r="J44">
        <v>0.96</v>
      </c>
      <c r="Q44" s="16" t="s">
        <v>131</v>
      </c>
      <c r="R44" s="5">
        <v>40.293040293040299</v>
      </c>
      <c r="S44" s="5">
        <v>15.45707</v>
      </c>
    </row>
    <row r="45" spans="1:19" x14ac:dyDescent="0.3">
      <c r="B45" t="s">
        <v>67</v>
      </c>
      <c r="C45">
        <v>70</v>
      </c>
      <c r="D45">
        <v>1</v>
      </c>
      <c r="E45">
        <v>125</v>
      </c>
      <c r="F45">
        <v>1</v>
      </c>
      <c r="G45">
        <v>0.06</v>
      </c>
      <c r="H45">
        <v>16</v>
      </c>
      <c r="I45">
        <v>2</v>
      </c>
      <c r="J45">
        <v>0.87</v>
      </c>
      <c r="Q45" s="16" t="s">
        <v>132</v>
      </c>
      <c r="R45" s="5">
        <v>128.20512820512801</v>
      </c>
      <c r="S45" s="5">
        <v>59.523810000000005</v>
      </c>
    </row>
    <row r="46" spans="1:19" x14ac:dyDescent="0.3">
      <c r="B46" t="s">
        <v>68</v>
      </c>
      <c r="C46">
        <v>101</v>
      </c>
      <c r="D46">
        <v>1</v>
      </c>
      <c r="E46">
        <v>187</v>
      </c>
      <c r="F46">
        <v>1</v>
      </c>
      <c r="G46">
        <v>0.03</v>
      </c>
      <c r="H46">
        <v>43</v>
      </c>
      <c r="I46">
        <v>4</v>
      </c>
      <c r="J46">
        <v>0.75</v>
      </c>
      <c r="Q46" s="16" t="s">
        <v>133</v>
      </c>
      <c r="R46" s="5">
        <v>197.80219780219699</v>
      </c>
      <c r="S46" s="5">
        <v>110.911524</v>
      </c>
    </row>
    <row r="47" spans="1:19" x14ac:dyDescent="0.3">
      <c r="B47" t="s">
        <v>69</v>
      </c>
      <c r="C47">
        <v>69</v>
      </c>
      <c r="D47">
        <v>1</v>
      </c>
      <c r="E47">
        <v>132</v>
      </c>
      <c r="F47">
        <v>1</v>
      </c>
      <c r="G47">
        <v>0</v>
      </c>
      <c r="H47">
        <v>36</v>
      </c>
      <c r="I47">
        <v>3</v>
      </c>
      <c r="J47">
        <v>0.69</v>
      </c>
      <c r="Q47" s="16" t="s">
        <v>134</v>
      </c>
      <c r="R47" s="5">
        <v>139.19413919413901</v>
      </c>
      <c r="S47" s="5">
        <v>89.044198000000009</v>
      </c>
    </row>
    <row r="48" spans="1:19" x14ac:dyDescent="0.3">
      <c r="Q48" s="16" t="s">
        <v>135</v>
      </c>
      <c r="R48" s="5">
        <v>76.923076923076806</v>
      </c>
      <c r="S48" s="5">
        <v>48.861851999999999</v>
      </c>
    </row>
    <row r="49" spans="1:19" x14ac:dyDescent="0.3">
      <c r="B49" t="s">
        <v>81</v>
      </c>
      <c r="C49">
        <v>175</v>
      </c>
      <c r="D49">
        <v>2</v>
      </c>
      <c r="E49" t="s">
        <v>56</v>
      </c>
      <c r="G49">
        <v>1</v>
      </c>
      <c r="H49" t="s">
        <v>56</v>
      </c>
      <c r="J49">
        <v>1</v>
      </c>
      <c r="Q49" s="16" t="s">
        <v>147</v>
      </c>
      <c r="R49" s="5">
        <v>197.80219780219699</v>
      </c>
      <c r="S49" s="5">
        <v>0</v>
      </c>
    </row>
    <row r="50" spans="1:19" x14ac:dyDescent="0.3">
      <c r="A50" t="s">
        <v>94</v>
      </c>
      <c r="B50" t="s">
        <v>95</v>
      </c>
    </row>
    <row r="51" spans="1:19" x14ac:dyDescent="0.3">
      <c r="A51" t="s">
        <v>100</v>
      </c>
      <c r="B51" t="s">
        <v>101</v>
      </c>
      <c r="C51">
        <v>2.5</v>
      </c>
      <c r="D51">
        <v>0.1</v>
      </c>
      <c r="E51">
        <v>4.9000000000000004</v>
      </c>
      <c r="F51">
        <v>0.3</v>
      </c>
      <c r="G51">
        <v>0</v>
      </c>
      <c r="H51">
        <v>0.9</v>
      </c>
      <c r="I51">
        <v>7.0000000000000007E-2</v>
      </c>
      <c r="J51">
        <v>0.79</v>
      </c>
      <c r="Q51" s="16" t="s">
        <v>153</v>
      </c>
      <c r="R51" s="5">
        <v>0</v>
      </c>
      <c r="S51" s="5">
        <v>0</v>
      </c>
    </row>
    <row r="52" spans="1:19" x14ac:dyDescent="0.3">
      <c r="A52" t="s">
        <v>102</v>
      </c>
      <c r="B52" t="s">
        <v>103</v>
      </c>
      <c r="C52">
        <v>13</v>
      </c>
      <c r="D52">
        <v>1</v>
      </c>
      <c r="E52">
        <v>27</v>
      </c>
      <c r="F52">
        <v>1</v>
      </c>
      <c r="G52">
        <v>0</v>
      </c>
      <c r="H52">
        <v>8</v>
      </c>
      <c r="I52">
        <v>1</v>
      </c>
      <c r="J52">
        <v>0.64</v>
      </c>
      <c r="Q52" s="16" t="s">
        <v>154</v>
      </c>
      <c r="R52" s="5">
        <v>0</v>
      </c>
      <c r="S52" s="5">
        <v>0</v>
      </c>
    </row>
    <row r="53" spans="1:19" x14ac:dyDescent="0.3">
      <c r="A53" t="s">
        <v>106</v>
      </c>
      <c r="B53" t="s">
        <v>107</v>
      </c>
      <c r="C53">
        <v>1.5</v>
      </c>
      <c r="D53">
        <v>0.2</v>
      </c>
      <c r="E53">
        <v>2.5</v>
      </c>
      <c r="F53">
        <v>0.2</v>
      </c>
      <c r="G53">
        <v>0.09</v>
      </c>
      <c r="H53">
        <v>0.26</v>
      </c>
      <c r="I53">
        <v>0.02</v>
      </c>
      <c r="J53">
        <v>0.9</v>
      </c>
      <c r="Q53" s="16" t="s">
        <v>156</v>
      </c>
      <c r="R53" s="5">
        <v>0</v>
      </c>
      <c r="S53" s="5">
        <v>0</v>
      </c>
    </row>
    <row r="54" spans="1:19" x14ac:dyDescent="0.3">
      <c r="A54" t="s">
        <v>108</v>
      </c>
      <c r="B54" t="s">
        <v>109</v>
      </c>
      <c r="C54">
        <v>6</v>
      </c>
      <c r="D54">
        <v>1</v>
      </c>
      <c r="E54">
        <v>13</v>
      </c>
      <c r="F54">
        <v>1</v>
      </c>
      <c r="G54">
        <v>0</v>
      </c>
      <c r="H54">
        <v>0.5</v>
      </c>
      <c r="I54">
        <v>0.1</v>
      </c>
      <c r="J54">
        <v>0.95</v>
      </c>
    </row>
    <row r="59" spans="1:19" x14ac:dyDescent="0.3">
      <c r="C59" s="6"/>
      <c r="G59" s="6"/>
      <c r="I59" s="31"/>
      <c r="K59" s="22"/>
      <c r="L59" s="22"/>
    </row>
    <row r="60" spans="1:19" x14ac:dyDescent="0.3">
      <c r="C60" s="6"/>
      <c r="G60" s="6"/>
      <c r="I60" s="31"/>
      <c r="K60" s="22"/>
      <c r="L60" s="22"/>
    </row>
    <row r="61" spans="1:19" x14ac:dyDescent="0.3">
      <c r="D61" s="54"/>
      <c r="E61" s="54"/>
      <c r="F61" s="54"/>
      <c r="G61" s="54"/>
      <c r="H61" s="54"/>
    </row>
    <row r="63" spans="1:19" x14ac:dyDescent="0.3">
      <c r="B63" s="2"/>
      <c r="D63" s="31"/>
      <c r="E63" s="31"/>
      <c r="F63" s="31"/>
      <c r="H63" s="31"/>
      <c r="I63" s="31"/>
    </row>
    <row r="64" spans="1:19" x14ac:dyDescent="0.3">
      <c r="B64" s="39"/>
      <c r="D64" s="31"/>
      <c r="E64" s="31"/>
      <c r="F64" s="31"/>
    </row>
    <row r="65" spans="2:9" x14ac:dyDescent="0.3">
      <c r="B65" s="14"/>
      <c r="D65" s="31"/>
      <c r="E65" s="31"/>
      <c r="F65" s="31"/>
      <c r="H65" s="31"/>
      <c r="I65" s="31"/>
    </row>
    <row r="66" spans="2:9" x14ac:dyDescent="0.3">
      <c r="D66" s="31"/>
    </row>
    <row r="67" spans="2:9" x14ac:dyDescent="0.3">
      <c r="B67" s="39"/>
      <c r="D67" s="31"/>
      <c r="E67" s="31"/>
      <c r="F67" s="31"/>
    </row>
    <row r="68" spans="2:9" x14ac:dyDescent="0.3">
      <c r="D68" s="31"/>
      <c r="E68" s="31"/>
      <c r="F68" s="31"/>
    </row>
    <row r="69" spans="2:9" x14ac:dyDescent="0.3">
      <c r="B69" s="39"/>
      <c r="E69" s="31"/>
      <c r="F69" s="31"/>
    </row>
    <row r="71" spans="2:9" x14ac:dyDescent="0.3">
      <c r="B71" s="39"/>
    </row>
    <row r="73" spans="2:9" x14ac:dyDescent="0.3">
      <c r="B73" s="45"/>
      <c r="D73" s="31"/>
      <c r="E73" s="31"/>
      <c r="F73" s="31"/>
      <c r="H73" s="31"/>
      <c r="I73" s="31"/>
    </row>
    <row r="79" spans="2:9" x14ac:dyDescent="0.3">
      <c r="B79" s="45"/>
      <c r="C79" s="1"/>
    </row>
    <row r="80" spans="2:9" x14ac:dyDescent="0.3">
      <c r="B80" s="39"/>
      <c r="C80" s="1"/>
    </row>
    <row r="81" spans="2:5" x14ac:dyDescent="0.3">
      <c r="B81" s="31"/>
      <c r="C81" s="1"/>
    </row>
    <row r="82" spans="2:5" x14ac:dyDescent="0.3">
      <c r="B82" s="31"/>
      <c r="C82" s="1"/>
    </row>
    <row r="84" spans="2:5" x14ac:dyDescent="0.3">
      <c r="B84" s="39"/>
      <c r="C84" s="1"/>
    </row>
    <row r="85" spans="2:5" x14ac:dyDescent="0.3">
      <c r="B85" s="14"/>
      <c r="C85" s="1"/>
    </row>
    <row r="86" spans="2:5" x14ac:dyDescent="0.3">
      <c r="D86" t="s">
        <v>361</v>
      </c>
      <c r="E86" t="s">
        <v>362</v>
      </c>
    </row>
    <row r="87" spans="2:5" x14ac:dyDescent="0.3">
      <c r="D87" t="s">
        <v>363</v>
      </c>
      <c r="E87" t="s">
        <v>49</v>
      </c>
    </row>
    <row r="88" spans="2:5" x14ac:dyDescent="0.3">
      <c r="D88">
        <v>0.89</v>
      </c>
      <c r="E88">
        <v>0.04</v>
      </c>
    </row>
    <row r="89" spans="2:5" x14ac:dyDescent="0.3">
      <c r="D89">
        <v>0.84599999999999997</v>
      </c>
    </row>
    <row r="90" spans="2:5" x14ac:dyDescent="0.3">
      <c r="D90">
        <v>0.93400000000000005</v>
      </c>
    </row>
    <row r="92" spans="2:5" x14ac:dyDescent="0.3">
      <c r="D92" t="s">
        <v>364</v>
      </c>
      <c r="E92" t="s">
        <v>365</v>
      </c>
    </row>
    <row r="93" spans="2:5" x14ac:dyDescent="0.3">
      <c r="D93">
        <v>0.2</v>
      </c>
      <c r="E93">
        <v>0.8</v>
      </c>
    </row>
    <row r="95" spans="2:5" x14ac:dyDescent="0.3">
      <c r="D95">
        <f>D88*E93+(1-D88)*D93</f>
        <v>0.7340000000000001</v>
      </c>
      <c r="E95" s="31">
        <f>(D97-D96)/2</f>
        <v>2.6399999999999979E-2</v>
      </c>
    </row>
    <row r="96" spans="2:5" x14ac:dyDescent="0.3">
      <c r="D96" s="31">
        <f>D89*E93+(1-D89)*D93</f>
        <v>0.70760000000000012</v>
      </c>
    </row>
    <row r="97" spans="4:4" x14ac:dyDescent="0.3">
      <c r="D97" s="31">
        <f>D90*E93+(1-D90)*D93</f>
        <v>0.76040000000000008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EDD5-911A-45EA-B677-74B48ABB8D96}">
  <dimension ref="A2:P133"/>
  <sheetViews>
    <sheetView topLeftCell="A88" zoomScale="115" zoomScaleNormal="115" workbookViewId="0">
      <selection activeCell="E122" sqref="E122"/>
    </sheetView>
  </sheetViews>
  <sheetFormatPr defaultColWidth="10.75" defaultRowHeight="14" x14ac:dyDescent="0.3"/>
  <cols>
    <col min="1" max="1" width="14.4140625" style="47" bestFit="1" customWidth="1"/>
    <col min="2" max="2" width="3" style="47" customWidth="1"/>
    <col min="3" max="3" width="34.58203125" style="47" bestFit="1" customWidth="1"/>
    <col min="4" max="4" width="22" style="47" customWidth="1"/>
    <col min="5" max="5" width="32.08203125" style="47" customWidth="1"/>
    <col min="6" max="6" width="31.4140625" style="47" bestFit="1" customWidth="1"/>
    <col min="7" max="7" width="32.1640625" style="47" bestFit="1" customWidth="1"/>
    <col min="8" max="9" width="15.33203125" style="47" bestFit="1" customWidth="1"/>
    <col min="10" max="10" width="10.75" style="47"/>
    <col min="11" max="11" width="7.1640625" style="53" bestFit="1" customWidth="1"/>
    <col min="12" max="12" width="6.1640625" style="53" bestFit="1" customWidth="1"/>
    <col min="13" max="13" width="10.75" style="47"/>
    <col min="14" max="14" width="6.1640625" style="47" bestFit="1" customWidth="1"/>
    <col min="15" max="16" width="8.1640625" style="47" bestFit="1" customWidth="1"/>
    <col min="17" max="16384" width="10.75" style="47"/>
  </cols>
  <sheetData>
    <row r="2" spans="1:16" x14ac:dyDescent="0.3">
      <c r="C2" s="47" t="s">
        <v>165</v>
      </c>
      <c r="F2" s="47">
        <v>39</v>
      </c>
      <c r="G2" s="47">
        <v>44</v>
      </c>
    </row>
    <row r="3" spans="1:16" x14ac:dyDescent="0.3">
      <c r="A3" s="47" t="s">
        <v>383</v>
      </c>
      <c r="B3" s="55"/>
      <c r="C3" s="55" t="s">
        <v>380</v>
      </c>
      <c r="D3" s="47" t="s">
        <v>381</v>
      </c>
      <c r="E3" s="47" t="s">
        <v>382</v>
      </c>
      <c r="F3" s="47" t="s">
        <v>457</v>
      </c>
      <c r="G3" s="47" t="s">
        <v>456</v>
      </c>
      <c r="H3" s="47" t="s">
        <v>458</v>
      </c>
      <c r="I3" s="47" t="s">
        <v>458</v>
      </c>
      <c r="K3" s="53" t="s">
        <v>433</v>
      </c>
      <c r="L3" s="53" t="s">
        <v>434</v>
      </c>
      <c r="N3" s="47" t="s">
        <v>430</v>
      </c>
      <c r="O3" s="47" t="s">
        <v>431</v>
      </c>
      <c r="P3" s="47" t="s">
        <v>432</v>
      </c>
    </row>
    <row r="4" spans="1:16" x14ac:dyDescent="0.3">
      <c r="A4" s="47" t="s">
        <v>389</v>
      </c>
      <c r="B4" s="48"/>
      <c r="C4" s="56" t="s">
        <v>401</v>
      </c>
      <c r="D4" s="47">
        <v>71.8</v>
      </c>
      <c r="E4" s="47" t="s">
        <v>402</v>
      </c>
      <c r="F4" s="47">
        <v>100</v>
      </c>
      <c r="G4" s="47">
        <v>100</v>
      </c>
      <c r="H4" s="47">
        <f t="shared" ref="H4:H35" si="0">G4/$G$2</f>
        <v>2.2727272727272729</v>
      </c>
      <c r="I4" s="47">
        <f t="shared" ref="I4:I35" si="1">IF(G4/$G$2 &gt; 1, 1, G4/$G$2)</f>
        <v>1</v>
      </c>
      <c r="K4" s="53">
        <v>15.4</v>
      </c>
      <c r="L4" s="53">
        <v>4.4999999999999998E-2</v>
      </c>
      <c r="N4" s="47">
        <v>25</v>
      </c>
      <c r="O4" s="47">
        <f t="shared" ref="O4:O35" si="2">24*60</f>
        <v>1440</v>
      </c>
      <c r="P4" s="47">
        <f t="shared" ref="P4:P35" si="3">24*60*6</f>
        <v>8640</v>
      </c>
    </row>
    <row r="5" spans="1:16" x14ac:dyDescent="0.3">
      <c r="A5" s="47" t="s">
        <v>389</v>
      </c>
      <c r="B5" s="56"/>
      <c r="C5" s="56" t="s">
        <v>460</v>
      </c>
      <c r="D5" s="47">
        <v>66.599999999999994</v>
      </c>
      <c r="E5" s="47" t="s">
        <v>403</v>
      </c>
      <c r="F5" s="47">
        <f t="shared" ref="F5:F17" si="4">(K5+L5*N5)*LN(O5)</f>
        <v>11.817647387926325</v>
      </c>
      <c r="G5" s="47">
        <f t="shared" ref="G5:G24" si="5">(K5+L5*N5)*LN(P5)</f>
        <v>14.729256525421913</v>
      </c>
      <c r="H5" s="47">
        <f t="shared" si="0"/>
        <v>0.3347558301232253</v>
      </c>
      <c r="I5" s="47">
        <f t="shared" si="1"/>
        <v>0.3347558301232253</v>
      </c>
      <c r="K5" s="53">
        <v>0.5</v>
      </c>
      <c r="L5" s="53">
        <v>4.4999999999999998E-2</v>
      </c>
      <c r="N5" s="47">
        <v>25</v>
      </c>
      <c r="O5" s="47">
        <f t="shared" si="2"/>
        <v>1440</v>
      </c>
      <c r="P5" s="47">
        <f t="shared" si="3"/>
        <v>8640</v>
      </c>
    </row>
    <row r="6" spans="1:16" x14ac:dyDescent="0.3">
      <c r="B6" s="55"/>
      <c r="C6" s="56" t="s">
        <v>539</v>
      </c>
      <c r="D6" s="47">
        <v>53.2</v>
      </c>
      <c r="E6" s="47" t="s">
        <v>540</v>
      </c>
      <c r="F6" s="47">
        <f t="shared" si="4"/>
        <v>58.360997100374625</v>
      </c>
      <c r="G6" s="47">
        <f t="shared" si="5"/>
        <v>72.739866840929764</v>
      </c>
      <c r="H6" s="47">
        <f t="shared" si="0"/>
        <v>1.6531787918393128</v>
      </c>
      <c r="I6" s="47">
        <f t="shared" si="1"/>
        <v>1</v>
      </c>
      <c r="K6" s="53">
        <v>6.9</v>
      </c>
      <c r="L6" s="53">
        <v>4.4999999999999998E-2</v>
      </c>
      <c r="N6" s="47">
        <v>25</v>
      </c>
      <c r="O6" s="47">
        <f t="shared" si="2"/>
        <v>1440</v>
      </c>
      <c r="P6" s="47">
        <f t="shared" si="3"/>
        <v>8640</v>
      </c>
    </row>
    <row r="7" spans="1:16" x14ac:dyDescent="0.3">
      <c r="B7" s="55"/>
      <c r="C7" s="56" t="s">
        <v>519</v>
      </c>
      <c r="D7" s="47">
        <v>50.8</v>
      </c>
      <c r="E7" s="47" t="s">
        <v>520</v>
      </c>
      <c r="F7" s="47">
        <f t="shared" si="4"/>
        <v>59.960924746740041</v>
      </c>
      <c r="G7" s="47">
        <f t="shared" si="5"/>
        <v>74.733981570525359</v>
      </c>
      <c r="H7" s="47">
        <f t="shared" si="0"/>
        <v>1.6984995811483037</v>
      </c>
      <c r="I7" s="47">
        <f t="shared" si="1"/>
        <v>1</v>
      </c>
      <c r="K7" s="53">
        <v>7.12</v>
      </c>
      <c r="L7" s="53">
        <v>4.4999999999999998E-2</v>
      </c>
      <c r="N7" s="47">
        <v>25</v>
      </c>
      <c r="O7" s="47">
        <f t="shared" si="2"/>
        <v>1440</v>
      </c>
      <c r="P7" s="47">
        <f t="shared" si="3"/>
        <v>8640</v>
      </c>
    </row>
    <row r="8" spans="1:16" x14ac:dyDescent="0.3">
      <c r="B8" s="55"/>
      <c r="C8" s="56" t="s">
        <v>569</v>
      </c>
      <c r="D8" s="47">
        <v>50.2</v>
      </c>
      <c r="E8" s="55" t="s">
        <v>570</v>
      </c>
      <c r="F8" s="47">
        <f t="shared" si="4"/>
        <v>55.961105630826509</v>
      </c>
      <c r="G8" s="47">
        <f t="shared" si="5"/>
        <v>69.748694746536387</v>
      </c>
      <c r="H8" s="47">
        <f t="shared" si="0"/>
        <v>1.585197607875827</v>
      </c>
      <c r="I8" s="47">
        <f t="shared" si="1"/>
        <v>1</v>
      </c>
      <c r="K8" s="53">
        <v>6.57</v>
      </c>
      <c r="L8" s="53">
        <v>4.4999999999999998E-2</v>
      </c>
      <c r="N8" s="47">
        <v>25</v>
      </c>
      <c r="O8" s="47">
        <f t="shared" si="2"/>
        <v>1440</v>
      </c>
      <c r="P8" s="47">
        <f t="shared" si="3"/>
        <v>8640</v>
      </c>
    </row>
    <row r="9" spans="1:16" x14ac:dyDescent="0.3">
      <c r="B9" s="55"/>
      <c r="C9" s="56" t="s">
        <v>564</v>
      </c>
      <c r="D9" s="47">
        <v>48.6</v>
      </c>
      <c r="E9" s="47" t="s">
        <v>565</v>
      </c>
      <c r="F9" s="47">
        <f t="shared" si="4"/>
        <v>49.925014964993373</v>
      </c>
      <c r="G9" s="47">
        <f t="shared" si="5"/>
        <v>62.225443721243963</v>
      </c>
      <c r="H9" s="47">
        <f t="shared" si="0"/>
        <v>1.4142146300282719</v>
      </c>
      <c r="I9" s="47">
        <f t="shared" si="1"/>
        <v>1</v>
      </c>
      <c r="K9" s="53">
        <v>5.74</v>
      </c>
      <c r="L9" s="53">
        <v>4.4999999999999998E-2</v>
      </c>
      <c r="N9" s="47">
        <v>25</v>
      </c>
      <c r="O9" s="47">
        <f t="shared" si="2"/>
        <v>1440</v>
      </c>
      <c r="P9" s="47">
        <f t="shared" si="3"/>
        <v>8640</v>
      </c>
    </row>
    <row r="10" spans="1:16" x14ac:dyDescent="0.3">
      <c r="B10" s="55"/>
      <c r="C10" s="56" t="s">
        <v>561</v>
      </c>
      <c r="D10" s="47">
        <v>44.9</v>
      </c>
      <c r="E10" s="47" t="s">
        <v>508</v>
      </c>
      <c r="F10" s="47">
        <f t="shared" si="4"/>
        <v>30.289539305054245</v>
      </c>
      <c r="G10" s="47">
        <f t="shared" si="5"/>
        <v>37.752217494389093</v>
      </c>
      <c r="H10" s="47">
        <f t="shared" si="0"/>
        <v>0.85800494305429753</v>
      </c>
      <c r="I10" s="47">
        <f t="shared" si="1"/>
        <v>0.85800494305429753</v>
      </c>
      <c r="K10" s="53">
        <v>3.04</v>
      </c>
      <c r="L10" s="53">
        <v>4.4999999999999998E-2</v>
      </c>
      <c r="N10" s="47">
        <v>25</v>
      </c>
      <c r="O10" s="47">
        <f t="shared" si="2"/>
        <v>1440</v>
      </c>
      <c r="P10" s="47">
        <f t="shared" si="3"/>
        <v>8640</v>
      </c>
    </row>
    <row r="11" spans="1:16" x14ac:dyDescent="0.3">
      <c r="B11" s="55"/>
      <c r="C11" s="56" t="s">
        <v>467</v>
      </c>
      <c r="D11" s="47">
        <v>44</v>
      </c>
      <c r="E11" s="47" t="s">
        <v>468</v>
      </c>
      <c r="F11" s="47">
        <f t="shared" si="4"/>
        <v>32.762154758528062</v>
      </c>
      <c r="G11" s="47">
        <f t="shared" si="5"/>
        <v>40.834031167400447</v>
      </c>
      <c r="H11" s="47">
        <f t="shared" si="0"/>
        <v>0.92804616289546471</v>
      </c>
      <c r="I11" s="47">
        <f t="shared" si="1"/>
        <v>0.92804616289546471</v>
      </c>
      <c r="K11" s="53">
        <v>3.38</v>
      </c>
      <c r="L11" s="53">
        <v>4.4999999999999998E-2</v>
      </c>
      <c r="N11" s="47">
        <v>25</v>
      </c>
      <c r="O11" s="47">
        <f t="shared" si="2"/>
        <v>1440</v>
      </c>
      <c r="P11" s="47">
        <f t="shared" si="3"/>
        <v>8640</v>
      </c>
    </row>
    <row r="12" spans="1:16" x14ac:dyDescent="0.3">
      <c r="B12" s="55"/>
      <c r="C12" s="56" t="s">
        <v>497</v>
      </c>
      <c r="D12" s="47">
        <v>41.8</v>
      </c>
      <c r="E12" s="47" t="s">
        <v>498</v>
      </c>
      <c r="F12" s="47">
        <f t="shared" si="4"/>
        <v>6.654244529201593</v>
      </c>
      <c r="G12" s="47">
        <f t="shared" si="5"/>
        <v>8.2937044435452627</v>
      </c>
      <c r="H12" s="47">
        <f t="shared" si="0"/>
        <v>0.18849328280784688</v>
      </c>
      <c r="I12" s="47">
        <f t="shared" si="1"/>
        <v>0.18849328280784688</v>
      </c>
      <c r="K12" s="53">
        <v>0.59</v>
      </c>
      <c r="L12" s="53">
        <v>1.2999999999999999E-2</v>
      </c>
      <c r="N12" s="47">
        <v>25</v>
      </c>
      <c r="O12" s="47">
        <f t="shared" si="2"/>
        <v>1440</v>
      </c>
      <c r="P12" s="47">
        <f t="shared" si="3"/>
        <v>8640</v>
      </c>
    </row>
    <row r="13" spans="1:16" x14ac:dyDescent="0.3">
      <c r="A13" s="47" t="s">
        <v>389</v>
      </c>
      <c r="B13" s="56"/>
      <c r="C13" s="56" t="s">
        <v>408</v>
      </c>
      <c r="D13" s="47">
        <v>41.5</v>
      </c>
      <c r="E13" s="47" t="s">
        <v>409</v>
      </c>
      <c r="F13" s="47">
        <f t="shared" si="4"/>
        <v>31.380399063939748</v>
      </c>
      <c r="G13" s="47">
        <f t="shared" si="5"/>
        <v>39.111841173658803</v>
      </c>
      <c r="H13" s="47">
        <f t="shared" si="0"/>
        <v>0.88890548121951829</v>
      </c>
      <c r="I13" s="47">
        <f t="shared" si="1"/>
        <v>0.88890548121951829</v>
      </c>
      <c r="K13" s="53">
        <v>3.19</v>
      </c>
      <c r="L13" s="53">
        <v>4.4999999999999998E-2</v>
      </c>
      <c r="N13" s="47">
        <v>25</v>
      </c>
      <c r="O13" s="47">
        <f t="shared" si="2"/>
        <v>1440</v>
      </c>
      <c r="P13" s="47">
        <f t="shared" si="3"/>
        <v>8640</v>
      </c>
    </row>
    <row r="14" spans="1:16" x14ac:dyDescent="0.3">
      <c r="B14" s="55"/>
      <c r="C14" s="56" t="s">
        <v>483</v>
      </c>
      <c r="D14" s="47">
        <v>39.4</v>
      </c>
      <c r="E14" s="47" t="s">
        <v>484</v>
      </c>
      <c r="F14" s="47">
        <f t="shared" si="4"/>
        <v>33.998462485264966</v>
      </c>
      <c r="G14" s="47">
        <f t="shared" si="5"/>
        <v>42.374938003906124</v>
      </c>
      <c r="H14" s="47">
        <f t="shared" si="0"/>
        <v>0.96306677281604824</v>
      </c>
      <c r="I14" s="47">
        <f t="shared" si="1"/>
        <v>0.96306677281604824</v>
      </c>
      <c r="K14" s="53">
        <v>3.55</v>
      </c>
      <c r="L14" s="53">
        <v>4.4999999999999998E-2</v>
      </c>
      <c r="N14" s="47">
        <v>25</v>
      </c>
      <c r="O14" s="47">
        <f t="shared" si="2"/>
        <v>1440</v>
      </c>
      <c r="P14" s="47">
        <f t="shared" si="3"/>
        <v>8640</v>
      </c>
    </row>
    <row r="15" spans="1:16" x14ac:dyDescent="0.3">
      <c r="A15" s="47">
        <v>25</v>
      </c>
      <c r="B15" s="56"/>
      <c r="C15" s="56" t="s">
        <v>441</v>
      </c>
      <c r="D15" s="47">
        <v>39.200000000000003</v>
      </c>
      <c r="E15" s="47" t="s">
        <v>442</v>
      </c>
      <c r="F15" s="47">
        <f t="shared" si="4"/>
        <v>43.961648283085928</v>
      </c>
      <c r="G15" s="47">
        <f t="shared" si="5"/>
        <v>54.792834274569522</v>
      </c>
      <c r="H15" s="47">
        <f t="shared" si="0"/>
        <v>1.2452916880583982</v>
      </c>
      <c r="I15" s="47">
        <f t="shared" si="1"/>
        <v>1</v>
      </c>
      <c r="K15" s="53">
        <v>4.92</v>
      </c>
      <c r="L15" s="53">
        <v>4.4999999999999998E-2</v>
      </c>
      <c r="N15" s="47">
        <v>25</v>
      </c>
      <c r="O15" s="47">
        <f t="shared" si="2"/>
        <v>1440</v>
      </c>
      <c r="P15" s="47">
        <f t="shared" si="3"/>
        <v>8640</v>
      </c>
    </row>
    <row r="16" spans="1:16" x14ac:dyDescent="0.3">
      <c r="B16" s="55"/>
      <c r="C16" s="56" t="s">
        <v>479</v>
      </c>
      <c r="D16" s="47">
        <v>39</v>
      </c>
      <c r="E16" s="47" t="s">
        <v>480</v>
      </c>
      <c r="F16" s="47">
        <f t="shared" si="4"/>
        <v>41.198136893909314</v>
      </c>
      <c r="G16" s="47">
        <f t="shared" si="5"/>
        <v>51.348454287086241</v>
      </c>
      <c r="H16" s="47">
        <f t="shared" si="0"/>
        <v>1.1670103247065056</v>
      </c>
      <c r="I16" s="47">
        <f t="shared" si="1"/>
        <v>1</v>
      </c>
      <c r="K16" s="53">
        <v>4.54</v>
      </c>
      <c r="L16" s="53">
        <v>4.4999999999999998E-2</v>
      </c>
      <c r="N16" s="47">
        <v>25</v>
      </c>
      <c r="O16" s="47">
        <f t="shared" si="2"/>
        <v>1440</v>
      </c>
      <c r="P16" s="47">
        <f t="shared" si="3"/>
        <v>8640</v>
      </c>
    </row>
    <row r="17" spans="1:16" x14ac:dyDescent="0.3">
      <c r="B17" s="55"/>
      <c r="C17" s="56" t="s">
        <v>469</v>
      </c>
      <c r="D17" s="47">
        <v>38.9</v>
      </c>
      <c r="E17" s="55" t="s">
        <v>470</v>
      </c>
      <c r="F17" s="47">
        <f t="shared" si="4"/>
        <v>33.271222646007963</v>
      </c>
      <c r="G17" s="47">
        <f t="shared" si="5"/>
        <v>41.468522217726317</v>
      </c>
      <c r="H17" s="47">
        <f t="shared" si="0"/>
        <v>0.94246641403923448</v>
      </c>
      <c r="I17" s="47">
        <f t="shared" si="1"/>
        <v>0.94246641403923448</v>
      </c>
      <c r="K17" s="53">
        <v>3.45</v>
      </c>
      <c r="L17" s="53">
        <v>4.4999999999999998E-2</v>
      </c>
      <c r="N17" s="47">
        <v>25</v>
      </c>
      <c r="O17" s="47">
        <f t="shared" si="2"/>
        <v>1440</v>
      </c>
      <c r="P17" s="47">
        <f t="shared" si="3"/>
        <v>8640</v>
      </c>
    </row>
    <row r="18" spans="1:16" ht="28" x14ac:dyDescent="0.3">
      <c r="A18" s="47">
        <v>24</v>
      </c>
      <c r="B18" s="56"/>
      <c r="C18" s="56" t="s">
        <v>429</v>
      </c>
      <c r="D18" s="47">
        <v>38.799999999999997</v>
      </c>
      <c r="E18" s="59" t="s">
        <v>462</v>
      </c>
      <c r="F18" s="47">
        <f>(0.51+0.013*N18)*SQRT(O18)</f>
        <v>31.686022154887159</v>
      </c>
      <c r="G18" s="47">
        <f>(K18+L18*N18)*LN(P18)</f>
        <v>51.348454287086241</v>
      </c>
      <c r="H18" s="47">
        <f>G18/$G$2</f>
        <v>1.1670103247065056</v>
      </c>
      <c r="I18" s="47">
        <f>IF(G18/$G$2 &gt; 1, 1, G18/$G$2)</f>
        <v>1</v>
      </c>
      <c r="K18" s="53">
        <v>4.54</v>
      </c>
      <c r="L18" s="53">
        <v>4.4999999999999998E-2</v>
      </c>
      <c r="N18" s="47">
        <v>25</v>
      </c>
      <c r="O18" s="47">
        <f t="shared" si="2"/>
        <v>1440</v>
      </c>
      <c r="P18" s="47">
        <f t="shared" si="3"/>
        <v>8640</v>
      </c>
    </row>
    <row r="19" spans="1:16" x14ac:dyDescent="0.3">
      <c r="B19" s="55"/>
      <c r="C19" s="56" t="s">
        <v>507</v>
      </c>
      <c r="D19" s="47">
        <v>38.799999999999997</v>
      </c>
      <c r="E19" s="47" t="s">
        <v>508</v>
      </c>
      <c r="F19" s="47">
        <f t="shared" ref="F19:F24" si="6">(K19+L19*N19)*LN(O19)</f>
        <v>30.289539305054245</v>
      </c>
      <c r="G19" s="47">
        <f t="shared" si="5"/>
        <v>37.752217494389093</v>
      </c>
      <c r="H19" s="47">
        <f t="shared" si="0"/>
        <v>0.85800494305429753</v>
      </c>
      <c r="I19" s="47">
        <f t="shared" si="1"/>
        <v>0.85800494305429753</v>
      </c>
      <c r="K19" s="53">
        <v>3.04</v>
      </c>
      <c r="L19" s="53">
        <v>4.4999999999999998E-2</v>
      </c>
      <c r="N19" s="47">
        <v>25</v>
      </c>
      <c r="O19" s="47">
        <f t="shared" si="2"/>
        <v>1440</v>
      </c>
      <c r="P19" s="47">
        <f t="shared" si="3"/>
        <v>8640</v>
      </c>
    </row>
    <row r="20" spans="1:16" x14ac:dyDescent="0.3">
      <c r="B20" s="55"/>
      <c r="C20" s="56" t="s">
        <v>541</v>
      </c>
      <c r="D20" s="47">
        <v>38.700000000000003</v>
      </c>
      <c r="E20" s="47" t="s">
        <v>542</v>
      </c>
      <c r="F20" s="47">
        <f t="shared" si="6"/>
        <v>32.689430774602357</v>
      </c>
      <c r="G20" s="47">
        <f t="shared" si="5"/>
        <v>40.743389588782463</v>
      </c>
      <c r="H20" s="47">
        <f t="shared" si="0"/>
        <v>0.92598612701778327</v>
      </c>
      <c r="I20" s="47">
        <f t="shared" si="1"/>
        <v>0.92598612701778327</v>
      </c>
      <c r="K20" s="53">
        <v>3.37</v>
      </c>
      <c r="L20" s="53">
        <v>4.4999999999999998E-2</v>
      </c>
      <c r="N20" s="47">
        <v>25</v>
      </c>
      <c r="O20" s="47">
        <f t="shared" si="2"/>
        <v>1440</v>
      </c>
      <c r="P20" s="47">
        <f t="shared" si="3"/>
        <v>8640</v>
      </c>
    </row>
    <row r="21" spans="1:16" x14ac:dyDescent="0.3">
      <c r="B21" s="55"/>
      <c r="C21" s="56" t="s">
        <v>240</v>
      </c>
      <c r="D21" s="47">
        <v>38.4</v>
      </c>
      <c r="E21" s="47" t="s">
        <v>516</v>
      </c>
      <c r="F21" s="47">
        <f t="shared" si="6"/>
        <v>30.798607192534142</v>
      </c>
      <c r="G21" s="47">
        <f t="shared" si="5"/>
        <v>38.386708544714956</v>
      </c>
      <c r="H21" s="47">
        <f t="shared" si="0"/>
        <v>0.87242519419806719</v>
      </c>
      <c r="I21" s="47">
        <f t="shared" si="1"/>
        <v>0.87242519419806719</v>
      </c>
      <c r="K21" s="53">
        <v>3.11</v>
      </c>
      <c r="L21" s="53">
        <v>4.4999999999999998E-2</v>
      </c>
      <c r="N21" s="47">
        <v>25</v>
      </c>
      <c r="O21" s="47">
        <f t="shared" si="2"/>
        <v>1440</v>
      </c>
      <c r="P21" s="47">
        <f t="shared" si="3"/>
        <v>8640</v>
      </c>
    </row>
    <row r="22" spans="1:16" x14ac:dyDescent="0.3">
      <c r="A22" s="47">
        <v>20</v>
      </c>
      <c r="B22" s="56"/>
      <c r="C22" s="56" t="s">
        <v>425</v>
      </c>
      <c r="D22" s="47">
        <v>38.299999999999997</v>
      </c>
      <c r="E22" s="47" t="s">
        <v>426</v>
      </c>
      <c r="F22" s="47">
        <f t="shared" si="6"/>
        <v>32.834878742453768</v>
      </c>
      <c r="G22" s="47">
        <f t="shared" si="5"/>
        <v>40.92467274601843</v>
      </c>
      <c r="H22" s="47">
        <f t="shared" si="0"/>
        <v>0.93010619877314615</v>
      </c>
      <c r="I22" s="47">
        <f t="shared" si="1"/>
        <v>0.93010619877314615</v>
      </c>
      <c r="K22" s="53">
        <v>3.39</v>
      </c>
      <c r="L22" s="53">
        <v>4.4999999999999998E-2</v>
      </c>
      <c r="N22" s="47">
        <v>25</v>
      </c>
      <c r="O22" s="47">
        <f t="shared" si="2"/>
        <v>1440</v>
      </c>
      <c r="P22" s="47">
        <f t="shared" si="3"/>
        <v>8640</v>
      </c>
    </row>
    <row r="23" spans="1:16" x14ac:dyDescent="0.3">
      <c r="B23" s="55"/>
      <c r="C23" s="56" t="s">
        <v>566</v>
      </c>
      <c r="D23" s="47">
        <v>38.1</v>
      </c>
      <c r="E23" s="47" t="s">
        <v>567</v>
      </c>
      <c r="F23" s="47">
        <f t="shared" si="6"/>
        <v>31.16222711216265</v>
      </c>
      <c r="G23" s="47">
        <f t="shared" si="5"/>
        <v>38.839916437804867</v>
      </c>
      <c r="H23" s="47">
        <f t="shared" si="0"/>
        <v>0.88272537358647429</v>
      </c>
      <c r="I23" s="47">
        <f t="shared" si="1"/>
        <v>0.88272537358647429</v>
      </c>
      <c r="K23" s="53">
        <v>3.16</v>
      </c>
      <c r="L23" s="53">
        <v>4.4999999999999998E-2</v>
      </c>
      <c r="N23" s="47">
        <v>25</v>
      </c>
      <c r="O23" s="47">
        <f t="shared" si="2"/>
        <v>1440</v>
      </c>
      <c r="P23" s="47">
        <f t="shared" si="3"/>
        <v>8640</v>
      </c>
    </row>
    <row r="24" spans="1:16" x14ac:dyDescent="0.3">
      <c r="B24" s="55"/>
      <c r="C24" s="56" t="s">
        <v>523</v>
      </c>
      <c r="D24" s="47">
        <v>38</v>
      </c>
      <c r="E24" s="47" t="s">
        <v>524</v>
      </c>
      <c r="F24" s="47">
        <f t="shared" si="6"/>
        <v>59.379132875334427</v>
      </c>
      <c r="G24" s="47">
        <f t="shared" si="5"/>
        <v>74.008848941581491</v>
      </c>
      <c r="H24" s="47">
        <f t="shared" si="0"/>
        <v>1.6820192941268521</v>
      </c>
      <c r="I24" s="47">
        <f t="shared" si="1"/>
        <v>1</v>
      </c>
      <c r="K24" s="53">
        <v>7.04</v>
      </c>
      <c r="L24" s="53">
        <v>4.4999999999999998E-2</v>
      </c>
      <c r="N24" s="47">
        <v>25</v>
      </c>
      <c r="O24" s="47">
        <f t="shared" si="2"/>
        <v>1440</v>
      </c>
      <c r="P24" s="47">
        <f t="shared" si="3"/>
        <v>8640</v>
      </c>
    </row>
    <row r="25" spans="1:16" x14ac:dyDescent="0.3">
      <c r="A25" s="47">
        <v>8.59</v>
      </c>
      <c r="B25" s="56"/>
      <c r="C25" s="56" t="s">
        <v>459</v>
      </c>
      <c r="D25" s="47">
        <v>37.909999999999997</v>
      </c>
      <c r="E25" s="47" t="s">
        <v>466</v>
      </c>
      <c r="F25" s="47">
        <v>100</v>
      </c>
      <c r="G25" s="47">
        <v>100</v>
      </c>
      <c r="H25" s="47">
        <f t="shared" si="0"/>
        <v>2.2727272727272729</v>
      </c>
      <c r="I25" s="47">
        <f t="shared" si="1"/>
        <v>1</v>
      </c>
      <c r="K25" s="53">
        <v>3.52</v>
      </c>
      <c r="L25" s="53">
        <v>0.45</v>
      </c>
      <c r="N25" s="47">
        <v>25</v>
      </c>
      <c r="O25" s="47">
        <f t="shared" si="2"/>
        <v>1440</v>
      </c>
      <c r="P25" s="47">
        <f t="shared" si="3"/>
        <v>8640</v>
      </c>
    </row>
    <row r="26" spans="1:16" x14ac:dyDescent="0.3">
      <c r="A26" s="47">
        <v>23</v>
      </c>
      <c r="B26" s="56"/>
      <c r="C26" s="56" t="s">
        <v>410</v>
      </c>
      <c r="D26" s="47">
        <v>37.799999999999997</v>
      </c>
      <c r="E26" s="47" t="s">
        <v>411</v>
      </c>
      <c r="F26" s="47">
        <f>(K26+L26*N26)*LN(O26)</f>
        <v>33.380308621896511</v>
      </c>
      <c r="G26" s="47">
        <f>(K26+L26*N26)*LN(P26)</f>
        <v>41.604484585653282</v>
      </c>
      <c r="H26" s="47">
        <f t="shared" si="0"/>
        <v>0.94555646785575642</v>
      </c>
      <c r="I26" s="47">
        <f t="shared" si="1"/>
        <v>0.94555646785575642</v>
      </c>
      <c r="K26" s="53">
        <v>3.39</v>
      </c>
      <c r="L26" s="53">
        <v>4.8000000000000001E-2</v>
      </c>
      <c r="N26" s="47">
        <v>25</v>
      </c>
      <c r="O26" s="47">
        <f t="shared" si="2"/>
        <v>1440</v>
      </c>
      <c r="P26" s="47">
        <f t="shared" si="3"/>
        <v>8640</v>
      </c>
    </row>
    <row r="27" spans="1:16" x14ac:dyDescent="0.3">
      <c r="B27" s="55"/>
      <c r="C27" s="56" t="s">
        <v>552</v>
      </c>
      <c r="D27" s="47">
        <v>37.799999999999997</v>
      </c>
      <c r="E27" s="47" t="s">
        <v>553</v>
      </c>
      <c r="F27" s="47">
        <f>(K27+L27*N27)*LN(O27)</f>
        <v>30.325901297017094</v>
      </c>
      <c r="G27" s="47">
        <f>(K27+L27*N27)*LN(P27)</f>
        <v>37.797538283698081</v>
      </c>
      <c r="H27" s="47">
        <f t="shared" si="0"/>
        <v>0.85903496099313825</v>
      </c>
      <c r="I27" s="47">
        <f t="shared" si="1"/>
        <v>0.85903496099313825</v>
      </c>
      <c r="K27" s="53">
        <v>2.67</v>
      </c>
      <c r="L27" s="53">
        <v>0.06</v>
      </c>
      <c r="N27" s="47">
        <v>25</v>
      </c>
      <c r="O27" s="47">
        <f t="shared" si="2"/>
        <v>1440</v>
      </c>
      <c r="P27" s="47">
        <f t="shared" si="3"/>
        <v>8640</v>
      </c>
    </row>
    <row r="28" spans="1:16" x14ac:dyDescent="0.3">
      <c r="A28" s="47">
        <v>10.199999999999999</v>
      </c>
      <c r="B28" s="56"/>
      <c r="C28" s="56" t="s">
        <v>427</v>
      </c>
      <c r="D28" s="47">
        <v>37.520000000000003</v>
      </c>
      <c r="E28" s="47" t="s">
        <v>428</v>
      </c>
      <c r="F28" s="47">
        <f>(K28+L28*N28)*SQRT(O28)</f>
        <v>13.091829513097093</v>
      </c>
      <c r="G28" s="47">
        <f>(K28+L28*N28)*SQRT(P28)</f>
        <v>32.068302106597415</v>
      </c>
      <c r="H28" s="47">
        <f t="shared" si="0"/>
        <v>0.72882504787721392</v>
      </c>
      <c r="I28" s="47">
        <f t="shared" si="1"/>
        <v>0.72882504787721392</v>
      </c>
      <c r="K28" s="53">
        <v>0.02</v>
      </c>
      <c r="L28" s="53">
        <v>1.2999999999999999E-2</v>
      </c>
      <c r="N28" s="47">
        <v>25</v>
      </c>
      <c r="O28" s="47">
        <f t="shared" si="2"/>
        <v>1440</v>
      </c>
      <c r="P28" s="47">
        <f t="shared" si="3"/>
        <v>8640</v>
      </c>
    </row>
    <row r="29" spans="1:16" x14ac:dyDescent="0.3">
      <c r="A29" s="47">
        <v>14</v>
      </c>
      <c r="B29" s="56"/>
      <c r="C29" s="56" t="s">
        <v>447</v>
      </c>
      <c r="D29" s="47">
        <v>36.9</v>
      </c>
      <c r="E29" s="47" t="s">
        <v>440</v>
      </c>
      <c r="F29" s="47">
        <f t="shared" ref="F29:F46" si="7">(K29+L29*N29)*LN(O29)</f>
        <v>21.853557169672989</v>
      </c>
      <c r="G29" s="47">
        <f t="shared" ref="G29:G46" si="8">(K29+L29*N29)*LN(P29)</f>
        <v>27.237794374703292</v>
      </c>
      <c r="H29" s="47">
        <f t="shared" si="0"/>
        <v>0.61904078124325668</v>
      </c>
      <c r="I29" s="47">
        <f t="shared" si="1"/>
        <v>0.61904078124325668</v>
      </c>
      <c r="K29" s="53">
        <v>1.88</v>
      </c>
      <c r="L29" s="53">
        <v>4.4999999999999998E-2</v>
      </c>
      <c r="N29" s="47">
        <v>25</v>
      </c>
      <c r="O29" s="47">
        <f t="shared" si="2"/>
        <v>1440</v>
      </c>
      <c r="P29" s="47">
        <f t="shared" si="3"/>
        <v>8640</v>
      </c>
    </row>
    <row r="30" spans="1:16" x14ac:dyDescent="0.3">
      <c r="A30" s="47">
        <v>32</v>
      </c>
      <c r="B30" s="56"/>
      <c r="C30" s="56" t="s">
        <v>404</v>
      </c>
      <c r="D30" s="47">
        <v>36.700000000000003</v>
      </c>
      <c r="E30" s="47" t="s">
        <v>405</v>
      </c>
      <c r="F30" s="47">
        <f t="shared" si="7"/>
        <v>42.143548684943418</v>
      </c>
      <c r="G30" s="47">
        <f t="shared" si="8"/>
        <v>52.526794809119998</v>
      </c>
      <c r="H30" s="47">
        <f t="shared" si="0"/>
        <v>1.1937907911163637</v>
      </c>
      <c r="I30" s="47">
        <f t="shared" si="1"/>
        <v>1</v>
      </c>
      <c r="K30" s="53">
        <v>4.67</v>
      </c>
      <c r="L30" s="53">
        <v>4.4999999999999998E-2</v>
      </c>
      <c r="N30" s="47">
        <v>25</v>
      </c>
      <c r="O30" s="47">
        <f t="shared" si="2"/>
        <v>1440</v>
      </c>
      <c r="P30" s="47">
        <f t="shared" si="3"/>
        <v>8640</v>
      </c>
    </row>
    <row r="31" spans="1:16" x14ac:dyDescent="0.3">
      <c r="B31" s="55"/>
      <c r="C31" s="56" t="s">
        <v>558</v>
      </c>
      <c r="D31" s="47">
        <v>36.5</v>
      </c>
      <c r="E31" s="47" t="s">
        <v>559</v>
      </c>
      <c r="F31" s="47">
        <f t="shared" si="7"/>
        <v>34.216634437042067</v>
      </c>
      <c r="G31" s="47">
        <f t="shared" si="8"/>
        <v>42.646862739760067</v>
      </c>
      <c r="H31" s="47">
        <f t="shared" si="0"/>
        <v>0.96924688044909246</v>
      </c>
      <c r="I31" s="47">
        <f t="shared" si="1"/>
        <v>0.96924688044909246</v>
      </c>
      <c r="K31" s="53">
        <v>3.58</v>
      </c>
      <c r="L31" s="53">
        <v>4.4999999999999998E-2</v>
      </c>
      <c r="N31" s="47">
        <v>25</v>
      </c>
      <c r="O31" s="47">
        <f t="shared" si="2"/>
        <v>1440</v>
      </c>
      <c r="P31" s="47">
        <f t="shared" si="3"/>
        <v>8640</v>
      </c>
    </row>
    <row r="32" spans="1:16" x14ac:dyDescent="0.3">
      <c r="A32" s="47">
        <v>27</v>
      </c>
      <c r="B32" s="56"/>
      <c r="C32" s="56" t="s">
        <v>394</v>
      </c>
      <c r="D32" s="47">
        <v>36.1</v>
      </c>
      <c r="E32" s="47" t="s">
        <v>395</v>
      </c>
      <c r="F32" s="47">
        <f t="shared" si="7"/>
        <v>33.380308621896511</v>
      </c>
      <c r="G32" s="47">
        <f t="shared" si="8"/>
        <v>41.604484585653282</v>
      </c>
      <c r="H32" s="47">
        <f t="shared" si="0"/>
        <v>0.94555646785575642</v>
      </c>
      <c r="I32" s="47">
        <f t="shared" si="1"/>
        <v>0.94555646785575642</v>
      </c>
      <c r="K32" s="53">
        <v>3.24</v>
      </c>
      <c r="L32" s="53">
        <v>5.3999999999999999E-2</v>
      </c>
      <c r="N32" s="47">
        <v>25</v>
      </c>
      <c r="O32" s="47">
        <f t="shared" si="2"/>
        <v>1440</v>
      </c>
      <c r="P32" s="47">
        <f t="shared" si="3"/>
        <v>8640</v>
      </c>
    </row>
    <row r="33" spans="1:16" x14ac:dyDescent="0.3">
      <c r="A33" s="47">
        <v>13</v>
      </c>
      <c r="B33" s="56"/>
      <c r="C33" s="56" t="s">
        <v>461</v>
      </c>
      <c r="D33" s="47">
        <v>36</v>
      </c>
      <c r="E33" s="47" t="s">
        <v>400</v>
      </c>
      <c r="F33" s="47">
        <f t="shared" si="7"/>
        <v>18.435529925165071</v>
      </c>
      <c r="G33" s="47">
        <f t="shared" si="8"/>
        <v>22.977640179658188</v>
      </c>
      <c r="H33" s="47">
        <f t="shared" si="0"/>
        <v>0.52221909499223151</v>
      </c>
      <c r="I33" s="47">
        <f t="shared" si="1"/>
        <v>0.52221909499223151</v>
      </c>
      <c r="K33" s="53">
        <v>1.41</v>
      </c>
      <c r="L33" s="53">
        <v>4.4999999999999998E-2</v>
      </c>
      <c r="N33" s="47">
        <v>25</v>
      </c>
      <c r="O33" s="47">
        <f t="shared" si="2"/>
        <v>1440</v>
      </c>
      <c r="P33" s="47">
        <f t="shared" si="3"/>
        <v>8640</v>
      </c>
    </row>
    <row r="34" spans="1:16" x14ac:dyDescent="0.3">
      <c r="B34" s="55"/>
      <c r="C34" s="56" t="s">
        <v>548</v>
      </c>
      <c r="D34" s="47">
        <v>35.799999999999997</v>
      </c>
      <c r="E34" s="47" t="s">
        <v>549</v>
      </c>
      <c r="F34" s="47">
        <f t="shared" si="7"/>
        <v>29.344127514020141</v>
      </c>
      <c r="G34" s="47">
        <f t="shared" si="8"/>
        <v>36.573876972355336</v>
      </c>
      <c r="H34" s="47">
        <f t="shared" si="0"/>
        <v>0.83122447664443944</v>
      </c>
      <c r="I34" s="47">
        <f t="shared" si="1"/>
        <v>0.83122447664443944</v>
      </c>
      <c r="K34" s="53">
        <v>2.91</v>
      </c>
      <c r="L34" s="53">
        <v>4.4999999999999998E-2</v>
      </c>
      <c r="N34" s="47">
        <v>25</v>
      </c>
      <c r="O34" s="47">
        <f t="shared" si="2"/>
        <v>1440</v>
      </c>
      <c r="P34" s="47">
        <f t="shared" si="3"/>
        <v>8640</v>
      </c>
    </row>
    <row r="35" spans="1:16" x14ac:dyDescent="0.3">
      <c r="A35" s="47">
        <v>16.8</v>
      </c>
      <c r="B35" s="56"/>
      <c r="C35" s="56" t="s">
        <v>195</v>
      </c>
      <c r="D35" s="47">
        <v>35.72</v>
      </c>
      <c r="E35" s="47" t="s">
        <v>396</v>
      </c>
      <c r="F35" s="47">
        <f t="shared" si="7"/>
        <v>32.543982806750954</v>
      </c>
      <c r="G35" s="47">
        <f t="shared" si="8"/>
        <v>40.562106431546496</v>
      </c>
      <c r="H35" s="47">
        <f t="shared" si="0"/>
        <v>0.92186605526242038</v>
      </c>
      <c r="I35" s="47">
        <f t="shared" si="1"/>
        <v>0.92186605526242038</v>
      </c>
      <c r="K35" s="53">
        <v>3.35</v>
      </c>
      <c r="L35" s="53">
        <v>4.4999999999999998E-2</v>
      </c>
      <c r="N35" s="47">
        <v>25</v>
      </c>
      <c r="O35" s="47">
        <f t="shared" si="2"/>
        <v>1440</v>
      </c>
      <c r="P35" s="47">
        <f t="shared" si="3"/>
        <v>8640</v>
      </c>
    </row>
    <row r="36" spans="1:16" x14ac:dyDescent="0.3">
      <c r="B36" s="55"/>
      <c r="C36" s="56" t="s">
        <v>562</v>
      </c>
      <c r="D36" s="47">
        <v>35.700000000000003</v>
      </c>
      <c r="E36" s="47" t="s">
        <v>563</v>
      </c>
      <c r="F36" s="47">
        <f t="shared" si="7"/>
        <v>18.071910005536569</v>
      </c>
      <c r="G36" s="47">
        <f t="shared" si="8"/>
        <v>22.524432286568285</v>
      </c>
      <c r="H36" s="47">
        <f t="shared" ref="H36:H67" si="9">G36/$G$2</f>
        <v>0.51191891560382463</v>
      </c>
      <c r="I36" s="47">
        <f t="shared" ref="I36:I67" si="10">IF(G36/$G$2 &gt; 1, 1, G36/$G$2)</f>
        <v>0.51191891560382463</v>
      </c>
      <c r="K36" s="53">
        <v>1.36</v>
      </c>
      <c r="L36" s="53">
        <v>4.4999999999999998E-2</v>
      </c>
      <c r="N36" s="47">
        <v>25</v>
      </c>
      <c r="O36" s="47">
        <f t="shared" ref="O36:O67" si="11">24*60</f>
        <v>1440</v>
      </c>
      <c r="P36" s="47">
        <f t="shared" ref="P36:P67" si="12">24*60*6</f>
        <v>8640</v>
      </c>
    </row>
    <row r="37" spans="1:16" x14ac:dyDescent="0.3">
      <c r="A37" s="47">
        <v>25</v>
      </c>
      <c r="B37" s="56"/>
      <c r="C37" s="56" t="s">
        <v>437</v>
      </c>
      <c r="D37" s="47">
        <v>35.200000000000003</v>
      </c>
      <c r="E37" s="47" t="s">
        <v>438</v>
      </c>
      <c r="F37" s="47">
        <f t="shared" si="7"/>
        <v>27.235131980174824</v>
      </c>
      <c r="G37" s="47">
        <f t="shared" si="8"/>
        <v>33.945271192433893</v>
      </c>
      <c r="H37" s="47">
        <f t="shared" si="9"/>
        <v>0.77148343619167936</v>
      </c>
      <c r="I37" s="47">
        <f t="shared" si="10"/>
        <v>0.77148343619167936</v>
      </c>
      <c r="K37" s="53">
        <v>2.62</v>
      </c>
      <c r="L37" s="53">
        <v>4.4999999999999998E-2</v>
      </c>
      <c r="N37" s="47">
        <v>25</v>
      </c>
      <c r="O37" s="47">
        <f t="shared" si="11"/>
        <v>1440</v>
      </c>
      <c r="P37" s="47">
        <f t="shared" si="12"/>
        <v>8640</v>
      </c>
    </row>
    <row r="38" spans="1:16" x14ac:dyDescent="0.3">
      <c r="B38" s="55"/>
      <c r="C38" s="56" t="s">
        <v>505</v>
      </c>
      <c r="D38" s="47">
        <v>35.200000000000003</v>
      </c>
      <c r="E38" s="47" t="s">
        <v>506</v>
      </c>
      <c r="F38" s="47">
        <f t="shared" si="7"/>
        <v>29.998643369351441</v>
      </c>
      <c r="G38" s="47">
        <f t="shared" si="8"/>
        <v>37.389651179917166</v>
      </c>
      <c r="H38" s="47">
        <f t="shared" si="9"/>
        <v>0.84976479954357198</v>
      </c>
      <c r="I38" s="47">
        <f t="shared" si="10"/>
        <v>0.84976479954357198</v>
      </c>
      <c r="K38" s="53">
        <v>3</v>
      </c>
      <c r="L38" s="53">
        <v>4.4999999999999998E-2</v>
      </c>
      <c r="N38" s="47">
        <v>25</v>
      </c>
      <c r="O38" s="47">
        <f t="shared" si="11"/>
        <v>1440</v>
      </c>
      <c r="P38" s="47">
        <f t="shared" si="12"/>
        <v>8640</v>
      </c>
    </row>
    <row r="39" spans="1:16" x14ac:dyDescent="0.3">
      <c r="B39" s="55"/>
      <c r="C39" s="56" t="s">
        <v>550</v>
      </c>
      <c r="D39" s="47">
        <v>35.1</v>
      </c>
      <c r="E39" s="47" t="s">
        <v>551</v>
      </c>
      <c r="F39" s="47">
        <f t="shared" si="7"/>
        <v>28.325991739060331</v>
      </c>
      <c r="G39" s="47">
        <f t="shared" si="8"/>
        <v>35.304894871703603</v>
      </c>
      <c r="H39" s="47">
        <f t="shared" si="9"/>
        <v>0.80238397435690001</v>
      </c>
      <c r="I39" s="47">
        <f t="shared" si="10"/>
        <v>0.80238397435690001</v>
      </c>
      <c r="K39" s="53">
        <v>2.77</v>
      </c>
      <c r="L39" s="53">
        <v>4.4999999999999998E-2</v>
      </c>
      <c r="N39" s="47">
        <v>25</v>
      </c>
      <c r="O39" s="47">
        <f t="shared" si="11"/>
        <v>1440</v>
      </c>
      <c r="P39" s="47">
        <f t="shared" si="12"/>
        <v>8640</v>
      </c>
    </row>
    <row r="40" spans="1:16" x14ac:dyDescent="0.3">
      <c r="B40" s="55"/>
      <c r="C40" s="56" t="s">
        <v>495</v>
      </c>
      <c r="D40" s="47">
        <v>35</v>
      </c>
      <c r="E40" s="47" t="s">
        <v>496</v>
      </c>
      <c r="F40" s="47">
        <f t="shared" si="7"/>
        <v>19.526389684050574</v>
      </c>
      <c r="G40" s="47">
        <f t="shared" si="8"/>
        <v>24.337263858927901</v>
      </c>
      <c r="H40" s="47">
        <f t="shared" si="9"/>
        <v>0.55311963315745227</v>
      </c>
      <c r="I40" s="47">
        <f t="shared" si="10"/>
        <v>0.55311963315745227</v>
      </c>
      <c r="K40" s="53">
        <v>1.56</v>
      </c>
      <c r="L40" s="53">
        <v>4.4999999999999998E-2</v>
      </c>
      <c r="N40" s="47">
        <v>25</v>
      </c>
      <c r="O40" s="47">
        <f t="shared" si="11"/>
        <v>1440</v>
      </c>
      <c r="P40" s="47">
        <f t="shared" si="12"/>
        <v>8640</v>
      </c>
    </row>
    <row r="41" spans="1:16" x14ac:dyDescent="0.3">
      <c r="B41" s="55"/>
      <c r="C41" s="56" t="s">
        <v>491</v>
      </c>
      <c r="D41" s="47">
        <v>34.9</v>
      </c>
      <c r="E41" s="47" t="s">
        <v>492</v>
      </c>
      <c r="F41" s="47">
        <f t="shared" si="7"/>
        <v>24.035276687444004</v>
      </c>
      <c r="G41" s="47">
        <f t="shared" si="8"/>
        <v>29.957041733242725</v>
      </c>
      <c r="H41" s="47">
        <f t="shared" si="9"/>
        <v>0.68084185757369831</v>
      </c>
      <c r="I41" s="47">
        <f t="shared" si="10"/>
        <v>0.68084185757369831</v>
      </c>
      <c r="K41" s="53">
        <v>2.1800000000000002</v>
      </c>
      <c r="L41" s="53">
        <v>4.4999999999999998E-2</v>
      </c>
      <c r="N41" s="47">
        <v>25</v>
      </c>
      <c r="O41" s="47">
        <f t="shared" si="11"/>
        <v>1440</v>
      </c>
      <c r="P41" s="47">
        <f t="shared" si="12"/>
        <v>8640</v>
      </c>
    </row>
    <row r="42" spans="1:16" x14ac:dyDescent="0.3">
      <c r="B42" s="55"/>
      <c r="C42" s="56" t="s">
        <v>499</v>
      </c>
      <c r="D42" s="47">
        <v>34.5</v>
      </c>
      <c r="E42" s="55" t="s">
        <v>500</v>
      </c>
      <c r="F42" s="47">
        <f t="shared" si="7"/>
        <v>25.562480349883714</v>
      </c>
      <c r="G42" s="47">
        <f t="shared" si="8"/>
        <v>31.860514884220326</v>
      </c>
      <c r="H42" s="47">
        <f t="shared" si="9"/>
        <v>0.72410261100500739</v>
      </c>
      <c r="I42" s="47">
        <f t="shared" si="10"/>
        <v>0.72410261100500739</v>
      </c>
      <c r="K42" s="53">
        <v>2.39</v>
      </c>
      <c r="L42" s="53">
        <v>4.4999999999999998E-2</v>
      </c>
      <c r="N42" s="47">
        <v>25</v>
      </c>
      <c r="O42" s="47">
        <f t="shared" si="11"/>
        <v>1440</v>
      </c>
      <c r="P42" s="47">
        <f t="shared" si="12"/>
        <v>8640</v>
      </c>
    </row>
    <row r="43" spans="1:16" x14ac:dyDescent="0.3">
      <c r="B43" s="55"/>
      <c r="C43" s="56" t="s">
        <v>571</v>
      </c>
      <c r="D43" s="47">
        <v>34.380000000000003</v>
      </c>
      <c r="E43" s="47" t="s">
        <v>572</v>
      </c>
      <c r="F43" s="47">
        <f t="shared" si="7"/>
        <v>30.580435240757048</v>
      </c>
      <c r="G43" s="47">
        <f t="shared" si="8"/>
        <v>38.114783808861013</v>
      </c>
      <c r="H43" s="47">
        <f t="shared" si="9"/>
        <v>0.86624508656502297</v>
      </c>
      <c r="I43" s="47">
        <f t="shared" si="10"/>
        <v>0.86624508656502297</v>
      </c>
      <c r="K43" s="53">
        <v>3.08</v>
      </c>
      <c r="L43" s="53">
        <v>4.4999999999999998E-2</v>
      </c>
      <c r="N43" s="47">
        <v>25</v>
      </c>
      <c r="O43" s="47">
        <f t="shared" si="11"/>
        <v>1440</v>
      </c>
      <c r="P43" s="47">
        <f t="shared" si="12"/>
        <v>8640</v>
      </c>
    </row>
    <row r="44" spans="1:16" x14ac:dyDescent="0.3">
      <c r="A44" s="47">
        <v>25</v>
      </c>
      <c r="B44" s="56"/>
      <c r="C44" s="56" t="s">
        <v>443</v>
      </c>
      <c r="D44" s="47">
        <v>33.799999999999997</v>
      </c>
      <c r="E44" s="47" t="s">
        <v>444</v>
      </c>
      <c r="F44" s="47">
        <f t="shared" si="7"/>
        <v>24.253448639221105</v>
      </c>
      <c r="G44" s="47">
        <f t="shared" si="8"/>
        <v>30.228966469096665</v>
      </c>
      <c r="H44" s="47">
        <f t="shared" si="9"/>
        <v>0.68702196520674241</v>
      </c>
      <c r="I44" s="47">
        <f t="shared" si="10"/>
        <v>0.68702196520674241</v>
      </c>
      <c r="K44" s="53">
        <v>2.21</v>
      </c>
      <c r="L44" s="53">
        <v>4.4999999999999998E-2</v>
      </c>
      <c r="N44" s="47">
        <v>25</v>
      </c>
      <c r="O44" s="47">
        <f t="shared" si="11"/>
        <v>1440</v>
      </c>
      <c r="P44" s="47">
        <f t="shared" si="12"/>
        <v>8640</v>
      </c>
    </row>
    <row r="45" spans="1:16" x14ac:dyDescent="0.3">
      <c r="C45" s="56" t="s">
        <v>533</v>
      </c>
      <c r="D45" s="47">
        <v>33.700000000000003</v>
      </c>
      <c r="E45" s="47" t="s">
        <v>534</v>
      </c>
      <c r="F45" s="55">
        <f t="shared" si="7"/>
        <v>21.926281153598687</v>
      </c>
      <c r="G45" s="55">
        <f t="shared" si="8"/>
        <v>27.328435953321272</v>
      </c>
      <c r="H45" s="55">
        <f t="shared" si="9"/>
        <v>0.62110081712093801</v>
      </c>
      <c r="I45" s="55">
        <f t="shared" si="10"/>
        <v>0.62110081712093801</v>
      </c>
      <c r="K45" s="53">
        <v>1.89</v>
      </c>
      <c r="L45" s="53">
        <v>4.4999999999999998E-2</v>
      </c>
      <c r="N45" s="47">
        <v>25</v>
      </c>
      <c r="O45" s="47">
        <f t="shared" si="11"/>
        <v>1440</v>
      </c>
      <c r="P45" s="47">
        <f t="shared" si="12"/>
        <v>8640</v>
      </c>
    </row>
    <row r="46" spans="1:16" x14ac:dyDescent="0.3">
      <c r="C46" s="56" t="s">
        <v>556</v>
      </c>
      <c r="D46" s="47">
        <v>32.9</v>
      </c>
      <c r="E46" s="47" t="s">
        <v>557</v>
      </c>
      <c r="F46" s="55">
        <f t="shared" si="7"/>
        <v>15.162950648508547</v>
      </c>
      <c r="G46" s="55">
        <f t="shared" si="8"/>
        <v>18.898769141849041</v>
      </c>
      <c r="H46" s="55">
        <f t="shared" si="9"/>
        <v>0.42951748049656913</v>
      </c>
      <c r="I46" s="55">
        <f t="shared" si="10"/>
        <v>0.42951748049656913</v>
      </c>
      <c r="K46" s="53">
        <v>0.96</v>
      </c>
      <c r="L46" s="53">
        <v>4.4999999999999998E-2</v>
      </c>
      <c r="N46" s="47">
        <v>25</v>
      </c>
      <c r="O46" s="47">
        <f t="shared" si="11"/>
        <v>1440</v>
      </c>
      <c r="P46" s="47">
        <f t="shared" si="12"/>
        <v>8640</v>
      </c>
    </row>
    <row r="47" spans="1:16" x14ac:dyDescent="0.3">
      <c r="C47" s="56" t="s">
        <v>517</v>
      </c>
      <c r="D47" s="47">
        <v>32.869999999999997</v>
      </c>
      <c r="E47" s="47" t="s">
        <v>518</v>
      </c>
      <c r="F47" s="55">
        <v>100</v>
      </c>
      <c r="G47" s="55">
        <v>100</v>
      </c>
      <c r="H47" s="55">
        <f t="shared" si="9"/>
        <v>2.2727272727272729</v>
      </c>
      <c r="I47" s="55">
        <f t="shared" si="10"/>
        <v>1</v>
      </c>
      <c r="K47" s="53">
        <v>4.2699999999999996</v>
      </c>
      <c r="L47" s="53">
        <v>0.45</v>
      </c>
      <c r="N47" s="47">
        <v>25</v>
      </c>
      <c r="O47" s="47">
        <f t="shared" si="11"/>
        <v>1440</v>
      </c>
      <c r="P47" s="47">
        <f t="shared" si="12"/>
        <v>8640</v>
      </c>
    </row>
    <row r="48" spans="1:16" x14ac:dyDescent="0.3">
      <c r="C48" s="56" t="s">
        <v>546</v>
      </c>
      <c r="D48" s="47">
        <v>32.700000000000003</v>
      </c>
      <c r="E48" s="47" t="s">
        <v>547</v>
      </c>
      <c r="F48" s="55">
        <f t="shared" ref="F48:F63" si="13">(K48+L48*N48)*LN(O48)</f>
        <v>28.107819787283233</v>
      </c>
      <c r="G48" s="55">
        <f t="shared" ref="G48:G63" si="14">(K48+L48*N48)*LN(P48)</f>
        <v>35.032970135849659</v>
      </c>
      <c r="H48" s="55">
        <f t="shared" si="9"/>
        <v>0.7962038667238559</v>
      </c>
      <c r="I48" s="55">
        <f t="shared" si="10"/>
        <v>0.7962038667238559</v>
      </c>
      <c r="K48" s="53">
        <v>2.74</v>
      </c>
      <c r="L48" s="53">
        <v>4.4999999999999998E-2</v>
      </c>
      <c r="N48" s="47">
        <v>25</v>
      </c>
      <c r="O48" s="47">
        <f t="shared" si="11"/>
        <v>1440</v>
      </c>
      <c r="P48" s="47">
        <f t="shared" si="12"/>
        <v>8640</v>
      </c>
    </row>
    <row r="49" spans="1:16" x14ac:dyDescent="0.3">
      <c r="C49" s="56" t="s">
        <v>493</v>
      </c>
      <c r="D49" s="47">
        <v>32.4</v>
      </c>
      <c r="E49" s="47" t="s">
        <v>494</v>
      </c>
      <c r="F49" s="55">
        <f t="shared" si="13"/>
        <v>24.835240510626708</v>
      </c>
      <c r="G49" s="55">
        <f t="shared" si="14"/>
        <v>30.954099098040516</v>
      </c>
      <c r="H49" s="55">
        <f t="shared" si="9"/>
        <v>0.70350225222819351</v>
      </c>
      <c r="I49" s="55">
        <f t="shared" si="10"/>
        <v>0.70350225222819351</v>
      </c>
      <c r="K49" s="53">
        <v>2.29</v>
      </c>
      <c r="L49" s="53">
        <v>4.4999999999999998E-2</v>
      </c>
      <c r="N49" s="55">
        <v>25</v>
      </c>
      <c r="O49" s="55">
        <f t="shared" si="11"/>
        <v>1440</v>
      </c>
      <c r="P49" s="55">
        <f t="shared" si="12"/>
        <v>8640</v>
      </c>
    </row>
    <row r="50" spans="1:16" x14ac:dyDescent="0.3">
      <c r="C50" s="56" t="s">
        <v>535</v>
      </c>
      <c r="D50" s="47">
        <v>32.299999999999997</v>
      </c>
      <c r="E50" s="47" t="s">
        <v>536</v>
      </c>
      <c r="F50" s="55">
        <f t="shared" si="13"/>
        <v>38.434625504732701</v>
      </c>
      <c r="G50" s="55">
        <f t="shared" si="14"/>
        <v>47.904074299602968</v>
      </c>
      <c r="H50" s="55">
        <f t="shared" si="9"/>
        <v>1.0887289613546129</v>
      </c>
      <c r="I50" s="55">
        <f t="shared" si="10"/>
        <v>1</v>
      </c>
      <c r="K50" s="53">
        <v>4.16</v>
      </c>
      <c r="L50" s="53">
        <v>4.4999999999999998E-2</v>
      </c>
      <c r="N50" s="55">
        <v>25</v>
      </c>
      <c r="O50" s="55">
        <f t="shared" si="11"/>
        <v>1440</v>
      </c>
      <c r="P50" s="55">
        <f t="shared" si="12"/>
        <v>8640</v>
      </c>
    </row>
    <row r="51" spans="1:16" x14ac:dyDescent="0.3">
      <c r="C51" s="56" t="s">
        <v>560</v>
      </c>
      <c r="D51" s="47">
        <v>32.200000000000003</v>
      </c>
      <c r="E51" s="47" t="s">
        <v>490</v>
      </c>
      <c r="F51" s="55">
        <f t="shared" si="13"/>
        <v>22.362625057152894</v>
      </c>
      <c r="G51" s="55">
        <f t="shared" si="14"/>
        <v>27.872285425029162</v>
      </c>
      <c r="H51" s="55">
        <f t="shared" si="9"/>
        <v>0.63346103238702645</v>
      </c>
      <c r="I51" s="55">
        <f t="shared" si="10"/>
        <v>0.63346103238702645</v>
      </c>
      <c r="K51" s="53">
        <v>1.95</v>
      </c>
      <c r="L51" s="53">
        <v>4.4999999999999998E-2</v>
      </c>
      <c r="N51" s="55">
        <v>25</v>
      </c>
      <c r="O51" s="55">
        <f t="shared" si="11"/>
        <v>1440</v>
      </c>
      <c r="P51" s="55">
        <f t="shared" si="12"/>
        <v>8640</v>
      </c>
    </row>
    <row r="52" spans="1:16" x14ac:dyDescent="0.3">
      <c r="A52" s="47">
        <v>27</v>
      </c>
      <c r="B52" s="56"/>
      <c r="C52" s="56" t="s">
        <v>435</v>
      </c>
      <c r="D52" s="47">
        <v>32</v>
      </c>
      <c r="E52" s="47" t="s">
        <v>436</v>
      </c>
      <c r="F52" s="55">
        <f t="shared" si="13"/>
        <v>23.817104735666902</v>
      </c>
      <c r="G52" s="55">
        <f t="shared" si="14"/>
        <v>29.685116997388782</v>
      </c>
      <c r="H52" s="55">
        <f t="shared" si="9"/>
        <v>0.67466174994065409</v>
      </c>
      <c r="I52" s="55">
        <f t="shared" si="10"/>
        <v>0.67466174994065409</v>
      </c>
      <c r="K52" s="53">
        <v>2.15</v>
      </c>
      <c r="L52" s="53">
        <v>4.4999999999999998E-2</v>
      </c>
      <c r="N52" s="55">
        <v>25</v>
      </c>
      <c r="O52" s="55">
        <f t="shared" si="11"/>
        <v>1440</v>
      </c>
      <c r="P52" s="55">
        <f t="shared" si="12"/>
        <v>8640</v>
      </c>
    </row>
    <row r="53" spans="1:16" x14ac:dyDescent="0.3">
      <c r="C53" s="56" t="s">
        <v>435</v>
      </c>
      <c r="D53" s="47">
        <v>32</v>
      </c>
      <c r="E53" s="47" t="s">
        <v>513</v>
      </c>
      <c r="F53" s="55">
        <f t="shared" si="13"/>
        <v>23.817104735666902</v>
      </c>
      <c r="G53" s="55">
        <f t="shared" si="14"/>
        <v>29.685116997388782</v>
      </c>
      <c r="H53" s="55">
        <f t="shared" si="9"/>
        <v>0.67466174994065409</v>
      </c>
      <c r="I53" s="55">
        <f t="shared" si="10"/>
        <v>0.67466174994065409</v>
      </c>
      <c r="K53" s="53">
        <v>2.15</v>
      </c>
      <c r="L53" s="53">
        <v>4.4999999999999998E-2</v>
      </c>
      <c r="N53" s="55">
        <v>25</v>
      </c>
      <c r="O53" s="55">
        <f t="shared" si="11"/>
        <v>1440</v>
      </c>
      <c r="P53" s="55">
        <f t="shared" si="12"/>
        <v>8640</v>
      </c>
    </row>
    <row r="54" spans="1:16" x14ac:dyDescent="0.3">
      <c r="A54" s="47">
        <v>16.510000000000002</v>
      </c>
      <c r="B54" s="56"/>
      <c r="C54" s="56" t="s">
        <v>384</v>
      </c>
      <c r="D54" s="47">
        <v>31.56</v>
      </c>
      <c r="E54" s="47" t="s">
        <v>385</v>
      </c>
      <c r="F54" s="55">
        <f t="shared" si="13"/>
        <v>26.944236044472024</v>
      </c>
      <c r="G54" s="55">
        <f t="shared" si="14"/>
        <v>33.582704877961966</v>
      </c>
      <c r="H54" s="55">
        <f t="shared" si="9"/>
        <v>0.76324329268095381</v>
      </c>
      <c r="I54" s="55">
        <f t="shared" si="10"/>
        <v>0.76324329268095381</v>
      </c>
      <c r="K54" s="53">
        <v>2.58</v>
      </c>
      <c r="L54" s="53">
        <v>4.4999999999999998E-2</v>
      </c>
      <c r="N54" s="55">
        <v>25</v>
      </c>
      <c r="O54" s="55">
        <f t="shared" si="11"/>
        <v>1440</v>
      </c>
      <c r="P54" s="55">
        <f t="shared" si="12"/>
        <v>8640</v>
      </c>
    </row>
    <row r="55" spans="1:16" x14ac:dyDescent="0.3">
      <c r="A55" s="47">
        <v>15.2</v>
      </c>
      <c r="B55" s="56"/>
      <c r="C55" s="56" t="s">
        <v>397</v>
      </c>
      <c r="D55" s="47">
        <v>31.3</v>
      </c>
      <c r="E55" s="47" t="s">
        <v>398</v>
      </c>
      <c r="F55" s="55">
        <f t="shared" si="13"/>
        <v>25.635204333809412</v>
      </c>
      <c r="G55" s="55">
        <f t="shared" si="14"/>
        <v>31.951156462838306</v>
      </c>
      <c r="H55" s="55">
        <f t="shared" si="9"/>
        <v>0.72616264688268872</v>
      </c>
      <c r="I55" s="55">
        <f t="shared" si="10"/>
        <v>0.72616264688268872</v>
      </c>
      <c r="K55" s="53">
        <v>2.4</v>
      </c>
      <c r="L55" s="53">
        <v>4.4999999999999998E-2</v>
      </c>
      <c r="N55" s="55">
        <v>25</v>
      </c>
      <c r="O55" s="55">
        <f t="shared" si="11"/>
        <v>1440</v>
      </c>
      <c r="P55" s="55">
        <f t="shared" si="12"/>
        <v>8640</v>
      </c>
    </row>
    <row r="56" spans="1:16" x14ac:dyDescent="0.3">
      <c r="C56" s="56" t="s">
        <v>514</v>
      </c>
      <c r="D56" s="47">
        <v>31.2</v>
      </c>
      <c r="E56" s="47" t="s">
        <v>515</v>
      </c>
      <c r="F56" s="55">
        <f t="shared" si="13"/>
        <v>35.452942163778978</v>
      </c>
      <c r="G56" s="55">
        <f t="shared" si="14"/>
        <v>44.187769576265744</v>
      </c>
      <c r="H56" s="55">
        <f t="shared" si="9"/>
        <v>1.004267490369676</v>
      </c>
      <c r="I56" s="55">
        <f t="shared" si="10"/>
        <v>1</v>
      </c>
      <c r="K56" s="53">
        <v>3.75</v>
      </c>
      <c r="L56" s="53">
        <v>4.4999999999999998E-2</v>
      </c>
      <c r="N56" s="55">
        <v>25</v>
      </c>
      <c r="O56" s="55">
        <f t="shared" si="11"/>
        <v>1440</v>
      </c>
      <c r="P56" s="55">
        <f t="shared" si="12"/>
        <v>8640</v>
      </c>
    </row>
    <row r="57" spans="1:16" x14ac:dyDescent="0.3">
      <c r="C57" s="57" t="s">
        <v>509</v>
      </c>
      <c r="D57" s="47">
        <v>31</v>
      </c>
      <c r="E57" s="47" t="s">
        <v>510</v>
      </c>
      <c r="F57" s="55">
        <f t="shared" si="13"/>
        <v>20.326353507233279</v>
      </c>
      <c r="G57" s="55">
        <f t="shared" si="14"/>
        <v>25.334321223725691</v>
      </c>
      <c r="H57" s="55">
        <f t="shared" si="9"/>
        <v>0.57578002781194748</v>
      </c>
      <c r="I57" s="55">
        <f t="shared" si="10"/>
        <v>0.57578002781194748</v>
      </c>
      <c r="K57" s="53">
        <v>1.67</v>
      </c>
      <c r="L57" s="53">
        <v>4.4999999999999998E-2</v>
      </c>
      <c r="N57" s="55">
        <v>25</v>
      </c>
      <c r="O57" s="55">
        <f t="shared" si="11"/>
        <v>1440</v>
      </c>
      <c r="P57" s="55">
        <f t="shared" si="12"/>
        <v>8640</v>
      </c>
    </row>
    <row r="58" spans="1:16" x14ac:dyDescent="0.3">
      <c r="A58" s="47">
        <v>15</v>
      </c>
      <c r="B58" s="57"/>
      <c r="C58" s="57" t="s">
        <v>392</v>
      </c>
      <c r="D58" s="47">
        <v>30.89</v>
      </c>
      <c r="E58" s="47" t="s">
        <v>393</v>
      </c>
      <c r="F58" s="55">
        <f t="shared" si="13"/>
        <v>28.980507594391636</v>
      </c>
      <c r="G58" s="55">
        <f t="shared" si="14"/>
        <v>36.120669079265433</v>
      </c>
      <c r="H58" s="55">
        <f t="shared" si="9"/>
        <v>0.82092429725603255</v>
      </c>
      <c r="I58" s="55">
        <f t="shared" si="10"/>
        <v>0.82092429725603255</v>
      </c>
      <c r="K58" s="53">
        <v>2.86</v>
      </c>
      <c r="L58" s="53">
        <v>4.4999999999999998E-2</v>
      </c>
      <c r="N58" s="47">
        <v>25</v>
      </c>
      <c r="O58" s="47">
        <f t="shared" si="11"/>
        <v>1440</v>
      </c>
      <c r="P58" s="47">
        <f t="shared" si="12"/>
        <v>8640</v>
      </c>
    </row>
    <row r="59" spans="1:16" x14ac:dyDescent="0.3">
      <c r="C59" s="57" t="s">
        <v>503</v>
      </c>
      <c r="D59" s="47">
        <v>30.7</v>
      </c>
      <c r="E59" s="47" t="s">
        <v>504</v>
      </c>
      <c r="F59" s="55">
        <f t="shared" si="13"/>
        <v>3.2362172846936703</v>
      </c>
      <c r="G59" s="55">
        <f t="shared" si="14"/>
        <v>4.0335502485001546</v>
      </c>
      <c r="H59" s="55">
        <f t="shared" si="9"/>
        <v>9.1671596556821694E-2</v>
      </c>
      <c r="I59" s="55">
        <f t="shared" si="10"/>
        <v>9.1671596556821694E-2</v>
      </c>
      <c r="K59" s="53">
        <v>-0.68</v>
      </c>
      <c r="L59" s="53">
        <v>4.4999999999999998E-2</v>
      </c>
      <c r="N59" s="47">
        <v>25</v>
      </c>
      <c r="O59" s="47">
        <f t="shared" si="11"/>
        <v>1440</v>
      </c>
      <c r="P59" s="47">
        <f t="shared" si="12"/>
        <v>8640</v>
      </c>
    </row>
    <row r="60" spans="1:16" x14ac:dyDescent="0.3">
      <c r="C60" s="57" t="s">
        <v>573</v>
      </c>
      <c r="D60" s="47">
        <v>30.7</v>
      </c>
      <c r="E60" s="47" t="s">
        <v>563</v>
      </c>
      <c r="F60" s="55">
        <f t="shared" si="13"/>
        <v>18.071910005536569</v>
      </c>
      <c r="G60" s="55">
        <f t="shared" si="14"/>
        <v>22.524432286568285</v>
      </c>
      <c r="H60" s="55">
        <f t="shared" si="9"/>
        <v>0.51191891560382463</v>
      </c>
      <c r="I60" s="55">
        <f t="shared" si="10"/>
        <v>0.51191891560382463</v>
      </c>
      <c r="K60" s="53">
        <v>1.36</v>
      </c>
      <c r="L60" s="53">
        <v>4.4999999999999998E-2</v>
      </c>
      <c r="N60" s="47">
        <v>25</v>
      </c>
      <c r="O60" s="47">
        <f t="shared" si="11"/>
        <v>1440</v>
      </c>
      <c r="P60" s="47">
        <f t="shared" si="12"/>
        <v>8640</v>
      </c>
    </row>
    <row r="61" spans="1:16" x14ac:dyDescent="0.3">
      <c r="A61" s="47">
        <v>34</v>
      </c>
      <c r="B61" s="57"/>
      <c r="C61" s="57" t="s">
        <v>388</v>
      </c>
      <c r="D61" s="47">
        <v>30.6</v>
      </c>
      <c r="E61" s="47" t="s">
        <v>387</v>
      </c>
      <c r="F61" s="55">
        <f t="shared" si="13"/>
        <v>27.380579948026227</v>
      </c>
      <c r="G61" s="55">
        <f t="shared" si="14"/>
        <v>34.126554349669853</v>
      </c>
      <c r="H61" s="55">
        <f t="shared" si="9"/>
        <v>0.77560350794704214</v>
      </c>
      <c r="I61" s="55">
        <f t="shared" si="10"/>
        <v>0.77560350794704214</v>
      </c>
      <c r="K61" s="53">
        <v>2.64</v>
      </c>
      <c r="L61" s="53">
        <v>4.4999999999999998E-2</v>
      </c>
      <c r="N61" s="47">
        <v>25</v>
      </c>
      <c r="O61" s="47">
        <f t="shared" si="11"/>
        <v>1440</v>
      </c>
      <c r="P61" s="47">
        <f t="shared" si="12"/>
        <v>8640</v>
      </c>
    </row>
    <row r="62" spans="1:16" x14ac:dyDescent="0.3">
      <c r="C62" s="57" t="s">
        <v>501</v>
      </c>
      <c r="D62" s="47">
        <v>30.3</v>
      </c>
      <c r="E62" s="47" t="s">
        <v>502</v>
      </c>
      <c r="F62" s="55">
        <f t="shared" si="13"/>
        <v>3.3089412686193711</v>
      </c>
      <c r="G62" s="55">
        <f t="shared" si="14"/>
        <v>4.1241918271181355</v>
      </c>
      <c r="H62" s="55">
        <f t="shared" si="9"/>
        <v>9.3731632434503082E-2</v>
      </c>
      <c r="I62" s="55">
        <f t="shared" si="10"/>
        <v>9.3731632434503082E-2</v>
      </c>
      <c r="K62" s="53">
        <v>-0.67</v>
      </c>
      <c r="L62" s="53">
        <v>4.4999999999999998E-2</v>
      </c>
      <c r="N62" s="47">
        <v>25</v>
      </c>
      <c r="O62" s="47">
        <f t="shared" si="11"/>
        <v>1440</v>
      </c>
      <c r="P62" s="47">
        <f t="shared" si="12"/>
        <v>8640</v>
      </c>
    </row>
    <row r="63" spans="1:16" x14ac:dyDescent="0.3">
      <c r="C63" s="57" t="s">
        <v>531</v>
      </c>
      <c r="D63" s="47">
        <v>30.3</v>
      </c>
      <c r="E63" s="47" t="s">
        <v>532</v>
      </c>
      <c r="F63" s="55">
        <f t="shared" si="13"/>
        <v>25.417032382032314</v>
      </c>
      <c r="G63" s="55">
        <f t="shared" si="14"/>
        <v>31.679231726984366</v>
      </c>
      <c r="H63" s="55">
        <f t="shared" si="9"/>
        <v>0.71998253924964473</v>
      </c>
      <c r="I63" s="55">
        <f t="shared" si="10"/>
        <v>0.71998253924964473</v>
      </c>
      <c r="K63" s="53">
        <v>2.37</v>
      </c>
      <c r="L63" s="53">
        <v>4.4999999999999998E-2</v>
      </c>
      <c r="N63" s="47">
        <v>25</v>
      </c>
      <c r="O63" s="47">
        <f t="shared" si="11"/>
        <v>1440</v>
      </c>
      <c r="P63" s="47">
        <f t="shared" si="12"/>
        <v>8640</v>
      </c>
    </row>
    <row r="64" spans="1:16" x14ac:dyDescent="0.3">
      <c r="C64" s="57" t="s">
        <v>521</v>
      </c>
      <c r="D64" s="47">
        <v>30</v>
      </c>
      <c r="E64" s="47" t="s">
        <v>522</v>
      </c>
      <c r="F64" s="55">
        <f>(K64+L64*N64)*SQRT(O64)</f>
        <v>98.473326337643343</v>
      </c>
      <c r="G64" s="55">
        <v>100</v>
      </c>
      <c r="H64" s="55">
        <f t="shared" si="9"/>
        <v>2.2727272727272729</v>
      </c>
      <c r="I64" s="55">
        <f t="shared" si="10"/>
        <v>1</v>
      </c>
      <c r="K64" s="53">
        <v>2.27</v>
      </c>
      <c r="L64" s="53">
        <v>1.2999999999999999E-2</v>
      </c>
      <c r="N64" s="47">
        <v>25</v>
      </c>
      <c r="O64" s="47">
        <f t="shared" si="11"/>
        <v>1440</v>
      </c>
      <c r="P64" s="47">
        <f t="shared" si="12"/>
        <v>8640</v>
      </c>
    </row>
    <row r="65" spans="1:16" x14ac:dyDescent="0.3">
      <c r="A65" s="47">
        <v>32</v>
      </c>
      <c r="B65" s="57"/>
      <c r="C65" s="57" t="s">
        <v>390</v>
      </c>
      <c r="D65" s="47">
        <v>29.8</v>
      </c>
      <c r="E65" s="47" t="s">
        <v>391</v>
      </c>
      <c r="F65" s="55">
        <f t="shared" ref="F65:F75" si="15">(K65+L65*N65)*LN(O65)</f>
        <v>26.14427222128932</v>
      </c>
      <c r="G65" s="55">
        <f t="shared" ref="G65:G75" si="16">(K65+L65*N65)*LN(P65)</f>
        <v>32.585647513164176</v>
      </c>
      <c r="H65" s="55">
        <f t="shared" si="9"/>
        <v>0.74058289802645849</v>
      </c>
      <c r="I65" s="55">
        <f t="shared" si="10"/>
        <v>0.74058289802645849</v>
      </c>
      <c r="K65" s="53">
        <v>2.4700000000000002</v>
      </c>
      <c r="L65" s="53">
        <v>4.4999999999999998E-2</v>
      </c>
      <c r="N65" s="47">
        <v>25</v>
      </c>
      <c r="O65" s="47">
        <f t="shared" si="11"/>
        <v>1440</v>
      </c>
      <c r="P65" s="47">
        <f t="shared" si="12"/>
        <v>8640</v>
      </c>
    </row>
    <row r="66" spans="1:16" x14ac:dyDescent="0.3">
      <c r="A66" s="47">
        <v>32</v>
      </c>
      <c r="B66" s="57"/>
      <c r="C66" s="57" t="s">
        <v>212</v>
      </c>
      <c r="D66" s="47">
        <v>29.5</v>
      </c>
      <c r="E66" s="47" t="s">
        <v>399</v>
      </c>
      <c r="F66" s="55">
        <f t="shared" si="15"/>
        <v>21.926281153598687</v>
      </c>
      <c r="G66" s="55">
        <f t="shared" si="16"/>
        <v>27.328435953321272</v>
      </c>
      <c r="H66" s="55">
        <f t="shared" si="9"/>
        <v>0.62110081712093801</v>
      </c>
      <c r="I66" s="55">
        <f t="shared" si="10"/>
        <v>0.62110081712093801</v>
      </c>
      <c r="K66" s="53">
        <v>1.89</v>
      </c>
      <c r="L66" s="53">
        <v>4.4999999999999998E-2</v>
      </c>
      <c r="N66" s="47">
        <v>25</v>
      </c>
      <c r="O66" s="47">
        <f t="shared" si="11"/>
        <v>1440</v>
      </c>
      <c r="P66" s="47">
        <f t="shared" si="12"/>
        <v>8640</v>
      </c>
    </row>
    <row r="67" spans="1:16" x14ac:dyDescent="0.3">
      <c r="C67" s="57" t="s">
        <v>475</v>
      </c>
      <c r="D67" s="47">
        <v>29.5</v>
      </c>
      <c r="E67" s="47" t="s">
        <v>476</v>
      </c>
      <c r="F67" s="55">
        <f t="shared" si="15"/>
        <v>21.562661233970186</v>
      </c>
      <c r="G67" s="55">
        <f t="shared" si="16"/>
        <v>26.875228060231368</v>
      </c>
      <c r="H67" s="55">
        <f t="shared" si="9"/>
        <v>0.61080063773253113</v>
      </c>
      <c r="I67" s="55">
        <f t="shared" si="10"/>
        <v>0.61080063773253113</v>
      </c>
      <c r="K67" s="53">
        <v>1.84</v>
      </c>
      <c r="L67" s="53">
        <v>4.4999999999999998E-2</v>
      </c>
      <c r="N67" s="47">
        <v>25</v>
      </c>
      <c r="O67" s="47">
        <f t="shared" si="11"/>
        <v>1440</v>
      </c>
      <c r="P67" s="47">
        <f t="shared" si="12"/>
        <v>8640</v>
      </c>
    </row>
    <row r="68" spans="1:16" x14ac:dyDescent="0.3">
      <c r="C68" s="57" t="s">
        <v>485</v>
      </c>
      <c r="D68" s="47">
        <v>29.3</v>
      </c>
      <c r="E68" s="47" t="s">
        <v>486</v>
      </c>
      <c r="F68" s="55">
        <f t="shared" si="15"/>
        <v>22.835330952669946</v>
      </c>
      <c r="G68" s="55">
        <f t="shared" si="16"/>
        <v>28.46145568604604</v>
      </c>
      <c r="H68" s="55">
        <f t="shared" ref="H68:H99" si="17">G68/$G$2</f>
        <v>0.64685126559195549</v>
      </c>
      <c r="I68" s="55">
        <f t="shared" ref="I68:I99" si="18">IF(G68/$G$2 &gt; 1, 1, G68/$G$2)</f>
        <v>0.64685126559195549</v>
      </c>
      <c r="K68" s="53">
        <v>2.29</v>
      </c>
      <c r="L68" s="53">
        <v>3.4000000000000002E-2</v>
      </c>
      <c r="N68" s="47">
        <v>25</v>
      </c>
      <c r="O68" s="47">
        <f t="shared" ref="O68:O99" si="19">24*60</f>
        <v>1440</v>
      </c>
      <c r="P68" s="47">
        <f t="shared" ref="P68:P99" si="20">24*60*6</f>
        <v>8640</v>
      </c>
    </row>
    <row r="69" spans="1:16" x14ac:dyDescent="0.3">
      <c r="A69" s="47">
        <v>35</v>
      </c>
      <c r="B69" s="57"/>
      <c r="C69" s="57" t="s">
        <v>386</v>
      </c>
      <c r="D69" s="47">
        <v>29.2</v>
      </c>
      <c r="E69" s="47" t="s">
        <v>387</v>
      </c>
      <c r="F69" s="55">
        <f t="shared" si="15"/>
        <v>27.380579948026227</v>
      </c>
      <c r="G69" s="55">
        <f t="shared" si="16"/>
        <v>34.126554349669853</v>
      </c>
      <c r="H69" s="55">
        <f t="shared" si="17"/>
        <v>0.77560350794704214</v>
      </c>
      <c r="I69" s="55">
        <f t="shared" si="18"/>
        <v>0.77560350794704214</v>
      </c>
      <c r="K69" s="53">
        <v>2.64</v>
      </c>
      <c r="L69" s="53">
        <v>4.4999999999999998E-2</v>
      </c>
      <c r="N69" s="47">
        <v>25</v>
      </c>
      <c r="O69" s="47">
        <f t="shared" si="19"/>
        <v>1440</v>
      </c>
      <c r="P69" s="47">
        <f t="shared" si="20"/>
        <v>8640</v>
      </c>
    </row>
    <row r="70" spans="1:16" x14ac:dyDescent="0.3">
      <c r="A70" s="47">
        <v>24</v>
      </c>
      <c r="B70" s="57"/>
      <c r="C70" s="57" t="s">
        <v>417</v>
      </c>
      <c r="D70" s="47">
        <v>28.8</v>
      </c>
      <c r="E70" s="47" t="s">
        <v>418</v>
      </c>
      <c r="F70" s="55">
        <f t="shared" si="15"/>
        <v>20.617249442936082</v>
      </c>
      <c r="G70" s="55">
        <f t="shared" si="16"/>
        <v>25.696887538197615</v>
      </c>
      <c r="H70" s="55">
        <f t="shared" si="17"/>
        <v>0.58402017132267303</v>
      </c>
      <c r="I70" s="55">
        <f t="shared" si="18"/>
        <v>0.58402017132267303</v>
      </c>
      <c r="K70" s="53">
        <v>1.71</v>
      </c>
      <c r="L70" s="53">
        <v>4.4999999999999998E-2</v>
      </c>
      <c r="N70" s="47">
        <v>25</v>
      </c>
      <c r="O70" s="47">
        <f t="shared" si="19"/>
        <v>1440</v>
      </c>
      <c r="P70" s="47">
        <f t="shared" si="20"/>
        <v>8640</v>
      </c>
    </row>
    <row r="71" spans="1:16" x14ac:dyDescent="0.3">
      <c r="C71" s="57" t="s">
        <v>489</v>
      </c>
      <c r="D71" s="47">
        <v>28.6</v>
      </c>
      <c r="E71" s="47" t="s">
        <v>490</v>
      </c>
      <c r="F71" s="55">
        <f t="shared" si="15"/>
        <v>22.362625057152894</v>
      </c>
      <c r="G71" s="55">
        <f t="shared" si="16"/>
        <v>27.872285425029162</v>
      </c>
      <c r="H71" s="55">
        <f t="shared" si="17"/>
        <v>0.63346103238702645</v>
      </c>
      <c r="I71" s="55">
        <f t="shared" si="18"/>
        <v>0.63346103238702645</v>
      </c>
      <c r="K71" s="53">
        <v>1.95</v>
      </c>
      <c r="L71" s="53">
        <v>4.4999999999999998E-2</v>
      </c>
      <c r="N71" s="47">
        <v>25</v>
      </c>
      <c r="O71" s="47">
        <f t="shared" si="19"/>
        <v>1440</v>
      </c>
      <c r="P71" s="47">
        <f t="shared" si="20"/>
        <v>8640</v>
      </c>
    </row>
    <row r="72" spans="1:16" x14ac:dyDescent="0.3">
      <c r="C72" s="57" t="s">
        <v>477</v>
      </c>
      <c r="D72" s="47">
        <v>28.4</v>
      </c>
      <c r="E72" s="47" t="s">
        <v>478</v>
      </c>
      <c r="F72" s="55">
        <f t="shared" si="15"/>
        <v>23.598932783889801</v>
      </c>
      <c r="G72" s="55">
        <f t="shared" si="16"/>
        <v>29.413192261534839</v>
      </c>
      <c r="H72" s="55">
        <f t="shared" si="17"/>
        <v>0.66848164230760998</v>
      </c>
      <c r="I72" s="55">
        <f t="shared" si="18"/>
        <v>0.66848164230760998</v>
      </c>
      <c r="K72" s="53">
        <v>2.12</v>
      </c>
      <c r="L72" s="53">
        <v>4.4999999999999998E-2</v>
      </c>
      <c r="N72" s="47">
        <v>25</v>
      </c>
      <c r="O72" s="47">
        <f t="shared" si="19"/>
        <v>1440</v>
      </c>
      <c r="P72" s="47">
        <f t="shared" si="20"/>
        <v>8640</v>
      </c>
    </row>
    <row r="73" spans="1:16" x14ac:dyDescent="0.3">
      <c r="C73" s="57" t="s">
        <v>481</v>
      </c>
      <c r="D73" s="47">
        <v>27</v>
      </c>
      <c r="E73" s="47" t="s">
        <v>482</v>
      </c>
      <c r="F73" s="55">
        <f t="shared" si="15"/>
        <v>19.671837651901978</v>
      </c>
      <c r="G73" s="55">
        <f t="shared" si="16"/>
        <v>24.518547016163865</v>
      </c>
      <c r="H73" s="55">
        <f t="shared" si="17"/>
        <v>0.55723970491281516</v>
      </c>
      <c r="I73" s="55">
        <f t="shared" si="18"/>
        <v>0.55723970491281516</v>
      </c>
      <c r="K73" s="53">
        <v>1.58</v>
      </c>
      <c r="L73" s="53">
        <v>4.4999999999999998E-2</v>
      </c>
      <c r="N73" s="47">
        <v>25</v>
      </c>
      <c r="O73" s="47">
        <f t="shared" si="19"/>
        <v>1440</v>
      </c>
      <c r="P73" s="47">
        <f t="shared" si="20"/>
        <v>8640</v>
      </c>
    </row>
    <row r="74" spans="1:16" x14ac:dyDescent="0.3">
      <c r="C74" s="57" t="s">
        <v>203</v>
      </c>
      <c r="D74" s="47">
        <v>26.2</v>
      </c>
      <c r="E74" s="47" t="s">
        <v>545</v>
      </c>
      <c r="F74" s="55">
        <f t="shared" si="15"/>
        <v>23.744380751741204</v>
      </c>
      <c r="G74" s="55">
        <f t="shared" si="16"/>
        <v>29.594475418770802</v>
      </c>
      <c r="H74" s="55">
        <f t="shared" si="17"/>
        <v>0.67260171406297276</v>
      </c>
      <c r="I74" s="55">
        <f t="shared" si="18"/>
        <v>0.67260171406297276</v>
      </c>
      <c r="K74" s="53">
        <v>2.14</v>
      </c>
      <c r="L74" s="53">
        <v>4.4999999999999998E-2</v>
      </c>
      <c r="N74" s="47">
        <v>25</v>
      </c>
      <c r="O74" s="47">
        <f t="shared" si="19"/>
        <v>1440</v>
      </c>
      <c r="P74" s="47">
        <f t="shared" si="20"/>
        <v>8640</v>
      </c>
    </row>
    <row r="75" spans="1:16" x14ac:dyDescent="0.3">
      <c r="A75" s="47">
        <v>30</v>
      </c>
      <c r="B75" s="57"/>
      <c r="C75" s="57" t="s">
        <v>439</v>
      </c>
      <c r="D75" s="47">
        <v>25.6</v>
      </c>
      <c r="E75" s="47" t="s">
        <v>440</v>
      </c>
      <c r="F75" s="55">
        <f t="shared" si="15"/>
        <v>21.853557169672989</v>
      </c>
      <c r="G75" s="55">
        <f t="shared" si="16"/>
        <v>27.237794374703292</v>
      </c>
      <c r="H75" s="55">
        <f t="shared" si="17"/>
        <v>0.61904078124325668</v>
      </c>
      <c r="I75" s="55">
        <f t="shared" si="18"/>
        <v>0.61904078124325668</v>
      </c>
      <c r="K75" s="53">
        <v>1.88</v>
      </c>
      <c r="L75" s="53">
        <v>4.4999999999999998E-2</v>
      </c>
      <c r="N75" s="47">
        <v>25</v>
      </c>
      <c r="O75" s="47">
        <f t="shared" si="19"/>
        <v>1440</v>
      </c>
      <c r="P75" s="47">
        <f t="shared" si="20"/>
        <v>8640</v>
      </c>
    </row>
    <row r="76" spans="1:16" x14ac:dyDescent="0.3">
      <c r="C76" s="57" t="s">
        <v>471</v>
      </c>
      <c r="D76" s="47">
        <v>24.3</v>
      </c>
      <c r="E76" s="47" t="s">
        <v>472</v>
      </c>
      <c r="F76" s="55">
        <f>(K76+L76*N76)*SQRT(O76)</f>
        <v>18.783929301400175</v>
      </c>
      <c r="G76" s="55">
        <f>(K76+L76*N76)*SQRT(P76)</f>
        <v>46.011042152944107</v>
      </c>
      <c r="H76" s="55">
        <f t="shared" si="17"/>
        <v>1.0457055034760023</v>
      </c>
      <c r="I76" s="55">
        <f t="shared" si="18"/>
        <v>1</v>
      </c>
      <c r="K76" s="53">
        <v>0.17</v>
      </c>
      <c r="L76" s="53">
        <v>1.2999999999999999E-2</v>
      </c>
      <c r="N76" s="47">
        <v>25</v>
      </c>
      <c r="O76" s="47">
        <f t="shared" si="19"/>
        <v>1440</v>
      </c>
      <c r="P76" s="47">
        <f t="shared" si="20"/>
        <v>8640</v>
      </c>
    </row>
    <row r="77" spans="1:16" x14ac:dyDescent="0.3">
      <c r="A77" s="47">
        <v>38</v>
      </c>
      <c r="B77" s="57"/>
      <c r="C77" s="57" t="s">
        <v>423</v>
      </c>
      <c r="D77" s="47">
        <v>23.2</v>
      </c>
      <c r="E77" s="47" t="s">
        <v>424</v>
      </c>
      <c r="F77" s="55">
        <f>(K77+L77*N77)*SQRT(O77)</f>
        <v>5.5023631286929806</v>
      </c>
      <c r="G77" s="55">
        <f>(K77+L77*N77)*SQRT(P77)</f>
        <v>13.477982044801811</v>
      </c>
      <c r="H77" s="55">
        <f t="shared" si="17"/>
        <v>0.30631777374549568</v>
      </c>
      <c r="I77" s="55">
        <f t="shared" si="18"/>
        <v>0.30631777374549568</v>
      </c>
      <c r="K77" s="53">
        <v>-0.18</v>
      </c>
      <c r="L77" s="53">
        <v>1.2999999999999999E-2</v>
      </c>
      <c r="N77" s="47">
        <v>25</v>
      </c>
      <c r="O77" s="47">
        <f t="shared" si="19"/>
        <v>1440</v>
      </c>
      <c r="P77" s="47">
        <f t="shared" si="20"/>
        <v>8640</v>
      </c>
    </row>
    <row r="78" spans="1:16" x14ac:dyDescent="0.3">
      <c r="A78" s="47" t="s">
        <v>389</v>
      </c>
      <c r="B78" s="57"/>
      <c r="C78" s="57" t="s">
        <v>445</v>
      </c>
      <c r="D78" s="47">
        <v>23</v>
      </c>
      <c r="E78" s="47" t="s">
        <v>446</v>
      </c>
      <c r="F78" s="55">
        <f t="shared" ref="F78:F85" si="21">(K78+L78*N78)*LN(O78)</f>
        <v>14.726606744954344</v>
      </c>
      <c r="G78" s="55">
        <f t="shared" ref="G78:G85" si="22">(K78+L78*N78)*LN(P78)</f>
        <v>18.354919670141154</v>
      </c>
      <c r="H78" s="55">
        <f t="shared" si="17"/>
        <v>0.41715726523048074</v>
      </c>
      <c r="I78" s="55">
        <f t="shared" si="18"/>
        <v>0.41715726523048074</v>
      </c>
      <c r="K78" s="53">
        <v>0.9</v>
      </c>
      <c r="L78" s="53">
        <v>4.4999999999999998E-2</v>
      </c>
      <c r="N78" s="47">
        <v>25</v>
      </c>
      <c r="O78" s="47">
        <f t="shared" si="19"/>
        <v>1440</v>
      </c>
      <c r="P78" s="47">
        <f t="shared" si="20"/>
        <v>8640</v>
      </c>
    </row>
    <row r="79" spans="1:16" x14ac:dyDescent="0.3">
      <c r="A79" s="47">
        <v>30</v>
      </c>
      <c r="B79" s="57"/>
      <c r="C79" s="57" t="s">
        <v>419</v>
      </c>
      <c r="D79" s="47">
        <v>22.9</v>
      </c>
      <c r="E79" s="47" t="s">
        <v>420</v>
      </c>
      <c r="F79" s="55">
        <f t="shared" si="21"/>
        <v>20.39907749115898</v>
      </c>
      <c r="G79" s="55">
        <f t="shared" si="22"/>
        <v>25.424962802343671</v>
      </c>
      <c r="H79" s="55">
        <f t="shared" si="17"/>
        <v>0.57784006368962892</v>
      </c>
      <c r="I79" s="55">
        <f t="shared" si="18"/>
        <v>0.57784006368962892</v>
      </c>
      <c r="K79" s="53">
        <v>1.68</v>
      </c>
      <c r="L79" s="53">
        <v>4.4999999999999998E-2</v>
      </c>
      <c r="N79" s="47">
        <v>25</v>
      </c>
      <c r="O79" s="47">
        <f t="shared" si="19"/>
        <v>1440</v>
      </c>
      <c r="P79" s="47">
        <f t="shared" si="20"/>
        <v>8640</v>
      </c>
    </row>
    <row r="80" spans="1:16" x14ac:dyDescent="0.3">
      <c r="C80" s="57" t="s">
        <v>487</v>
      </c>
      <c r="D80" s="47">
        <v>22.5</v>
      </c>
      <c r="E80" s="47" t="s">
        <v>488</v>
      </c>
      <c r="F80" s="55">
        <f t="shared" si="21"/>
        <v>15.526570568137048</v>
      </c>
      <c r="G80" s="55">
        <f t="shared" si="22"/>
        <v>19.351977034938944</v>
      </c>
      <c r="H80" s="55">
        <f t="shared" si="17"/>
        <v>0.43981765988497601</v>
      </c>
      <c r="I80" s="55">
        <f t="shared" si="18"/>
        <v>0.43981765988497601</v>
      </c>
      <c r="K80" s="53">
        <v>1.01</v>
      </c>
      <c r="L80" s="53">
        <v>4.4999999999999998E-2</v>
      </c>
      <c r="N80" s="47">
        <v>25</v>
      </c>
      <c r="O80" s="47">
        <f t="shared" si="19"/>
        <v>1440</v>
      </c>
      <c r="P80" s="47">
        <f t="shared" si="20"/>
        <v>8640</v>
      </c>
    </row>
    <row r="81" spans="1:16" x14ac:dyDescent="0.3">
      <c r="C81" s="58" t="s">
        <v>537</v>
      </c>
      <c r="D81" s="47">
        <v>22.1</v>
      </c>
      <c r="E81" s="47" t="s">
        <v>538</v>
      </c>
      <c r="F81" s="55">
        <f t="shared" si="21"/>
        <v>20.035457571530479</v>
      </c>
      <c r="G81" s="55">
        <f t="shared" si="22"/>
        <v>24.971754909253768</v>
      </c>
      <c r="H81" s="55">
        <f t="shared" si="17"/>
        <v>0.56753988430122204</v>
      </c>
      <c r="I81" s="55">
        <f t="shared" si="18"/>
        <v>0.56753988430122204</v>
      </c>
      <c r="K81" s="53">
        <v>1.63</v>
      </c>
      <c r="L81" s="53">
        <v>4.4999999999999998E-2</v>
      </c>
      <c r="N81" s="47">
        <v>25</v>
      </c>
      <c r="O81" s="47">
        <f t="shared" si="19"/>
        <v>1440</v>
      </c>
      <c r="P81" s="47">
        <f t="shared" si="20"/>
        <v>8640</v>
      </c>
    </row>
    <row r="82" spans="1:16" x14ac:dyDescent="0.3">
      <c r="C82" s="58" t="s">
        <v>511</v>
      </c>
      <c r="D82" s="47">
        <v>21.8</v>
      </c>
      <c r="E82" s="47" t="s">
        <v>512</v>
      </c>
      <c r="F82" s="55">
        <f t="shared" si="21"/>
        <v>18.217357973387966</v>
      </c>
      <c r="G82" s="55">
        <f t="shared" si="22"/>
        <v>22.705715443804241</v>
      </c>
      <c r="H82" s="55">
        <f t="shared" si="17"/>
        <v>0.5160389873591873</v>
      </c>
      <c r="I82" s="55">
        <f t="shared" si="18"/>
        <v>0.5160389873591873</v>
      </c>
      <c r="K82" s="53">
        <v>1.38</v>
      </c>
      <c r="L82" s="53">
        <v>4.4999999999999998E-2</v>
      </c>
      <c r="N82" s="47">
        <v>25</v>
      </c>
      <c r="O82" s="47">
        <f t="shared" si="19"/>
        <v>1440</v>
      </c>
      <c r="P82" s="47">
        <f t="shared" si="20"/>
        <v>8640</v>
      </c>
    </row>
    <row r="83" spans="1:16" x14ac:dyDescent="0.3">
      <c r="C83" s="58" t="s">
        <v>529</v>
      </c>
      <c r="D83" s="47">
        <v>21.4</v>
      </c>
      <c r="E83" s="47" t="s">
        <v>530</v>
      </c>
      <c r="F83" s="55">
        <f t="shared" si="21"/>
        <v>18.580977893016467</v>
      </c>
      <c r="G83" s="55">
        <f t="shared" si="22"/>
        <v>23.158923336894144</v>
      </c>
      <c r="H83" s="55">
        <f t="shared" si="17"/>
        <v>0.52633916674759418</v>
      </c>
      <c r="I83" s="55">
        <f t="shared" si="18"/>
        <v>0.52633916674759418</v>
      </c>
      <c r="K83" s="53">
        <v>1.43</v>
      </c>
      <c r="L83" s="53">
        <v>4.4999999999999998E-2</v>
      </c>
      <c r="N83" s="47">
        <v>25</v>
      </c>
      <c r="O83" s="47">
        <f t="shared" si="19"/>
        <v>1440</v>
      </c>
      <c r="P83" s="47">
        <f t="shared" si="20"/>
        <v>8640</v>
      </c>
    </row>
    <row r="84" spans="1:16" x14ac:dyDescent="0.3">
      <c r="C84" s="58" t="s">
        <v>525</v>
      </c>
      <c r="D84" s="47">
        <v>20.6</v>
      </c>
      <c r="E84" s="47" t="s">
        <v>526</v>
      </c>
      <c r="F84" s="55">
        <f t="shared" si="21"/>
        <v>20.39907749115898</v>
      </c>
      <c r="G84" s="55">
        <f t="shared" si="22"/>
        <v>25.424962802343671</v>
      </c>
      <c r="H84" s="55">
        <f t="shared" si="17"/>
        <v>0.57784006368962892</v>
      </c>
      <c r="I84" s="55">
        <f t="shared" si="18"/>
        <v>0.57784006368962892</v>
      </c>
      <c r="K84" s="53">
        <v>1.68</v>
      </c>
      <c r="L84" s="53">
        <v>4.4999999999999998E-2</v>
      </c>
      <c r="N84" s="47">
        <v>25</v>
      </c>
      <c r="O84" s="47">
        <f t="shared" si="19"/>
        <v>1440</v>
      </c>
      <c r="P84" s="47">
        <f t="shared" si="20"/>
        <v>8640</v>
      </c>
    </row>
    <row r="85" spans="1:16" x14ac:dyDescent="0.3">
      <c r="C85" s="58" t="s">
        <v>568</v>
      </c>
      <c r="D85" s="47">
        <v>20.399999999999999</v>
      </c>
      <c r="E85" s="47" t="s">
        <v>543</v>
      </c>
      <c r="F85" s="55">
        <f t="shared" si="21"/>
        <v>19.235493748347775</v>
      </c>
      <c r="G85" s="55">
        <f t="shared" si="22"/>
        <v>23.974697544455978</v>
      </c>
      <c r="H85" s="55">
        <f t="shared" si="17"/>
        <v>0.54487948964672672</v>
      </c>
      <c r="I85" s="55">
        <f t="shared" si="18"/>
        <v>0.54487948964672672</v>
      </c>
      <c r="K85" s="53">
        <v>1.52</v>
      </c>
      <c r="L85" s="53">
        <v>4.4999999999999998E-2</v>
      </c>
      <c r="N85" s="47">
        <v>25</v>
      </c>
      <c r="O85" s="47">
        <f t="shared" si="19"/>
        <v>1440</v>
      </c>
      <c r="P85" s="47">
        <f t="shared" si="20"/>
        <v>8640</v>
      </c>
    </row>
    <row r="86" spans="1:16" x14ac:dyDescent="0.3">
      <c r="C86" s="58" t="s">
        <v>554</v>
      </c>
      <c r="D86" s="47">
        <v>20.3</v>
      </c>
      <c r="E86" s="47" t="s">
        <v>555</v>
      </c>
      <c r="F86" s="55">
        <f>(K86+L86*N86)*SQRT(O86)</f>
        <v>8.1586763632344201</v>
      </c>
      <c r="G86" s="55">
        <f>(K86+L86*N86)*SQRT(P86)</f>
        <v>19.984594066430272</v>
      </c>
      <c r="H86" s="55">
        <f t="shared" si="17"/>
        <v>0.4541953196915971</v>
      </c>
      <c r="I86" s="55">
        <f t="shared" si="18"/>
        <v>0.4541953196915971</v>
      </c>
      <c r="K86" s="53">
        <v>-0.11</v>
      </c>
      <c r="L86" s="53">
        <v>1.2999999999999999E-2</v>
      </c>
      <c r="N86" s="47">
        <v>25</v>
      </c>
      <c r="O86" s="47">
        <f t="shared" si="19"/>
        <v>1440</v>
      </c>
      <c r="P86" s="47">
        <f t="shared" si="20"/>
        <v>8640</v>
      </c>
    </row>
    <row r="87" spans="1:16" x14ac:dyDescent="0.3">
      <c r="C87" s="58" t="s">
        <v>544</v>
      </c>
      <c r="D87" s="47">
        <v>19.8</v>
      </c>
      <c r="E87" s="47" t="s">
        <v>512</v>
      </c>
      <c r="F87" s="55">
        <f>(K87+L87*N87)*LN(O87)</f>
        <v>18.217357973387966</v>
      </c>
      <c r="G87" s="55">
        <f>(K87+L87*N87)*LN(P87)</f>
        <v>22.705715443804241</v>
      </c>
      <c r="H87" s="55">
        <f t="shared" si="17"/>
        <v>0.5160389873591873</v>
      </c>
      <c r="I87" s="55">
        <f t="shared" si="18"/>
        <v>0.5160389873591873</v>
      </c>
      <c r="K87" s="53">
        <v>1.38</v>
      </c>
      <c r="L87" s="53">
        <v>4.4999999999999998E-2</v>
      </c>
      <c r="N87" s="47">
        <v>25</v>
      </c>
      <c r="O87" s="47">
        <f t="shared" si="19"/>
        <v>1440</v>
      </c>
      <c r="P87" s="47">
        <f t="shared" si="20"/>
        <v>8640</v>
      </c>
    </row>
    <row r="88" spans="1:16" x14ac:dyDescent="0.3">
      <c r="A88" s="47">
        <v>31</v>
      </c>
      <c r="B88" s="58"/>
      <c r="C88" s="58" t="s">
        <v>452</v>
      </c>
      <c r="D88" s="47">
        <v>19.600000000000001</v>
      </c>
      <c r="E88" s="47" t="s">
        <v>453</v>
      </c>
      <c r="F88" s="55">
        <f>(K88+L88*N88)*LN(O88)</f>
        <v>19.017321796570673</v>
      </c>
      <c r="G88" s="55">
        <f>(K88+L88*N88)*LN(P88)</f>
        <v>23.702772808602035</v>
      </c>
      <c r="H88" s="55">
        <f t="shared" si="17"/>
        <v>0.53869938201368261</v>
      </c>
      <c r="I88" s="55">
        <f t="shared" si="18"/>
        <v>0.53869938201368261</v>
      </c>
      <c r="K88" s="53">
        <v>1.49</v>
      </c>
      <c r="L88" s="53">
        <v>4.4999999999999998E-2</v>
      </c>
      <c r="N88" s="47">
        <v>25</v>
      </c>
      <c r="O88" s="47">
        <f t="shared" si="19"/>
        <v>1440</v>
      </c>
      <c r="P88" s="47">
        <f t="shared" si="20"/>
        <v>8640</v>
      </c>
    </row>
    <row r="89" spans="1:16" x14ac:dyDescent="0.3">
      <c r="A89" s="47">
        <v>40</v>
      </c>
      <c r="B89" s="58"/>
      <c r="C89" s="58" t="s">
        <v>449</v>
      </c>
      <c r="D89" s="47">
        <v>19.5</v>
      </c>
      <c r="E89" s="47" t="s">
        <v>450</v>
      </c>
      <c r="F89" s="55">
        <f>(K89+L89*N89)*LN(O89)</f>
        <v>19.526389684050574</v>
      </c>
      <c r="G89" s="55">
        <f>(K89+L89*N89)*LN(P89)</f>
        <v>24.337263858927901</v>
      </c>
      <c r="H89" s="55">
        <f t="shared" si="17"/>
        <v>0.55311963315745227</v>
      </c>
      <c r="I89" s="55">
        <f t="shared" si="18"/>
        <v>0.55311963315745227</v>
      </c>
      <c r="K89" s="53">
        <v>1.56</v>
      </c>
      <c r="L89" s="53">
        <v>4.4999999999999998E-2</v>
      </c>
      <c r="N89" s="47">
        <v>25</v>
      </c>
      <c r="O89" s="47">
        <f t="shared" si="19"/>
        <v>1440</v>
      </c>
      <c r="P89" s="47">
        <f t="shared" si="20"/>
        <v>8640</v>
      </c>
    </row>
    <row r="90" spans="1:16" x14ac:dyDescent="0.3">
      <c r="A90" s="47">
        <v>51</v>
      </c>
      <c r="B90" s="58"/>
      <c r="C90" s="58" t="s">
        <v>454</v>
      </c>
      <c r="D90" s="47">
        <v>14.7</v>
      </c>
      <c r="E90" s="47" t="s">
        <v>455</v>
      </c>
      <c r="F90" s="55">
        <f t="shared" ref="F90:F95" si="23">(K90+L90*N90)*SQRT(O90)</f>
        <v>7.7792030440142135</v>
      </c>
      <c r="G90" s="55">
        <f t="shared" ref="G90:G95" si="24">(K90+L90*N90)*SQRT(P90)</f>
        <v>19.055078063340492</v>
      </c>
      <c r="H90" s="55">
        <f t="shared" si="17"/>
        <v>0.43306995598501119</v>
      </c>
      <c r="I90" s="55">
        <f t="shared" si="18"/>
        <v>0.43306995598501119</v>
      </c>
      <c r="K90" s="53">
        <v>-0.12</v>
      </c>
      <c r="L90" s="53">
        <v>1.2999999999999999E-2</v>
      </c>
      <c r="N90" s="55">
        <v>25</v>
      </c>
      <c r="O90" s="55">
        <f t="shared" si="19"/>
        <v>1440</v>
      </c>
      <c r="P90" s="55">
        <f t="shared" si="20"/>
        <v>8640</v>
      </c>
    </row>
    <row r="91" spans="1:16" x14ac:dyDescent="0.3">
      <c r="A91" s="47">
        <v>39</v>
      </c>
      <c r="B91" s="58"/>
      <c r="C91" s="58" t="s">
        <v>406</v>
      </c>
      <c r="D91" s="47">
        <v>13.6</v>
      </c>
      <c r="E91" s="47" t="s">
        <v>407</v>
      </c>
      <c r="F91" s="55">
        <f t="shared" si="23"/>
        <v>13.471302832317296</v>
      </c>
      <c r="G91" s="55">
        <f t="shared" si="24"/>
        <v>32.997818109687188</v>
      </c>
      <c r="H91" s="55">
        <f t="shared" si="17"/>
        <v>0.74995041158379971</v>
      </c>
      <c r="I91" s="55">
        <f t="shared" si="18"/>
        <v>0.74995041158379971</v>
      </c>
      <c r="K91" s="53">
        <v>0.03</v>
      </c>
      <c r="L91" s="53">
        <v>1.2999999999999999E-2</v>
      </c>
      <c r="N91" s="55">
        <v>25</v>
      </c>
      <c r="O91" s="55">
        <f t="shared" si="19"/>
        <v>1440</v>
      </c>
      <c r="P91" s="55">
        <f t="shared" si="20"/>
        <v>8640</v>
      </c>
    </row>
    <row r="92" spans="1:16" x14ac:dyDescent="0.3">
      <c r="A92" s="47">
        <v>35</v>
      </c>
      <c r="B92" s="58"/>
      <c r="C92" s="58" t="s">
        <v>413</v>
      </c>
      <c r="D92" s="47">
        <v>13.2</v>
      </c>
      <c r="E92" s="55" t="s">
        <v>414</v>
      </c>
      <c r="F92" s="55">
        <f t="shared" si="23"/>
        <v>7.0202564055738019</v>
      </c>
      <c r="G92" s="55">
        <f t="shared" si="24"/>
        <v>17.196046057160931</v>
      </c>
      <c r="H92" s="55">
        <f t="shared" si="17"/>
        <v>0.39081922857183932</v>
      </c>
      <c r="I92" s="55">
        <f t="shared" si="18"/>
        <v>0.39081922857183932</v>
      </c>
      <c r="K92" s="53">
        <v>-0.14000000000000001</v>
      </c>
      <c r="L92" s="53">
        <v>1.2999999999999999E-2</v>
      </c>
      <c r="N92" s="55">
        <v>25</v>
      </c>
      <c r="O92" s="55">
        <f t="shared" si="19"/>
        <v>1440</v>
      </c>
      <c r="P92" s="55">
        <f t="shared" si="20"/>
        <v>8640</v>
      </c>
    </row>
    <row r="93" spans="1:16" x14ac:dyDescent="0.3">
      <c r="A93" s="47">
        <v>62</v>
      </c>
      <c r="B93" s="58"/>
      <c r="C93" s="58" t="s">
        <v>421</v>
      </c>
      <c r="D93" s="47">
        <v>12.3</v>
      </c>
      <c r="E93" s="55" t="s">
        <v>422</v>
      </c>
      <c r="F93" s="55">
        <f t="shared" si="23"/>
        <v>6.2613097671333913</v>
      </c>
      <c r="G93" s="55">
        <f t="shared" si="24"/>
        <v>15.33701405098137</v>
      </c>
      <c r="H93" s="55">
        <f t="shared" si="17"/>
        <v>0.3485685011586675</v>
      </c>
      <c r="I93" s="55">
        <f t="shared" si="18"/>
        <v>0.3485685011586675</v>
      </c>
      <c r="K93" s="53">
        <v>-0.16</v>
      </c>
      <c r="L93" s="53">
        <v>1.2999999999999999E-2</v>
      </c>
      <c r="N93" s="55">
        <v>25</v>
      </c>
      <c r="O93" s="55">
        <f t="shared" si="19"/>
        <v>1440</v>
      </c>
      <c r="P93" s="55">
        <f t="shared" si="20"/>
        <v>8640</v>
      </c>
    </row>
    <row r="94" spans="1:16" x14ac:dyDescent="0.3">
      <c r="A94" s="47">
        <v>39.5</v>
      </c>
      <c r="B94" s="58"/>
      <c r="C94" s="58" t="s">
        <v>448</v>
      </c>
      <c r="D94" s="47">
        <v>11.55</v>
      </c>
      <c r="E94" s="55" t="s">
        <v>414</v>
      </c>
      <c r="F94" s="55">
        <f t="shared" si="23"/>
        <v>7.0202564055738019</v>
      </c>
      <c r="G94" s="55">
        <f t="shared" si="24"/>
        <v>17.196046057160931</v>
      </c>
      <c r="H94" s="55">
        <f t="shared" si="17"/>
        <v>0.39081922857183932</v>
      </c>
      <c r="I94" s="55">
        <f t="shared" si="18"/>
        <v>0.39081922857183932</v>
      </c>
      <c r="K94" s="53">
        <v>-0.14000000000000001</v>
      </c>
      <c r="L94" s="53">
        <v>1.2999999999999999E-2</v>
      </c>
      <c r="N94" s="55">
        <v>25</v>
      </c>
      <c r="O94" s="55">
        <f t="shared" si="19"/>
        <v>1440</v>
      </c>
      <c r="P94" s="55">
        <f t="shared" si="20"/>
        <v>8640</v>
      </c>
    </row>
    <row r="95" spans="1:16" x14ac:dyDescent="0.3">
      <c r="A95" s="47">
        <v>29</v>
      </c>
      <c r="B95" s="58"/>
      <c r="C95" s="58" t="s">
        <v>451</v>
      </c>
      <c r="D95" s="47">
        <v>11.47</v>
      </c>
      <c r="E95" s="55" t="s">
        <v>422</v>
      </c>
      <c r="F95" s="55">
        <f t="shared" si="23"/>
        <v>6.2613097671333913</v>
      </c>
      <c r="G95" s="55">
        <f t="shared" si="24"/>
        <v>15.33701405098137</v>
      </c>
      <c r="H95" s="55">
        <f t="shared" si="17"/>
        <v>0.3485685011586675</v>
      </c>
      <c r="I95" s="55">
        <f t="shared" si="18"/>
        <v>0.3485685011586675</v>
      </c>
      <c r="K95" s="53">
        <v>-0.16</v>
      </c>
      <c r="L95" s="53">
        <v>1.2999999999999999E-2</v>
      </c>
      <c r="N95" s="55">
        <v>25</v>
      </c>
      <c r="O95" s="55">
        <f t="shared" si="19"/>
        <v>1440</v>
      </c>
      <c r="P95" s="55">
        <f t="shared" si="20"/>
        <v>8640</v>
      </c>
    </row>
    <row r="96" spans="1:16" ht="28" x14ac:dyDescent="0.3">
      <c r="A96" s="47">
        <v>47</v>
      </c>
      <c r="B96" s="58"/>
      <c r="C96" s="58" t="s">
        <v>412</v>
      </c>
      <c r="D96" s="47">
        <v>11.4</v>
      </c>
      <c r="E96" s="59" t="s">
        <v>463</v>
      </c>
      <c r="F96" s="55">
        <f>(-0.13+0.013*N97)*SQRT(O97)</f>
        <v>7.3997297247940077</v>
      </c>
      <c r="G96" s="55">
        <f>(K96+L96*N96)*LN(P96)</f>
        <v>13.007066531680275</v>
      </c>
      <c r="H96" s="55">
        <f t="shared" si="17"/>
        <v>0.29561514844727899</v>
      </c>
      <c r="I96" s="55">
        <f t="shared" si="18"/>
        <v>0.29561514844727899</v>
      </c>
      <c r="K96" s="53">
        <v>0.31</v>
      </c>
      <c r="L96" s="53">
        <v>4.4999999999999998E-2</v>
      </c>
      <c r="N96" s="55">
        <v>25</v>
      </c>
      <c r="O96" s="55">
        <f t="shared" si="19"/>
        <v>1440</v>
      </c>
      <c r="P96" s="55">
        <f t="shared" si="20"/>
        <v>8640</v>
      </c>
    </row>
    <row r="97" spans="1:16" x14ac:dyDescent="0.3">
      <c r="C97" s="58" t="s">
        <v>527</v>
      </c>
      <c r="D97" s="47">
        <v>11</v>
      </c>
      <c r="E97" s="55" t="s">
        <v>528</v>
      </c>
      <c r="F97" s="55">
        <f>(K97+L97*N97)*LN(O97)</f>
        <v>16.108362439542653</v>
      </c>
      <c r="G97" s="55">
        <f>(K97+L97*N97)*LN(P97)</f>
        <v>20.077109663882794</v>
      </c>
      <c r="H97" s="55">
        <f t="shared" si="17"/>
        <v>0.45629794690642717</v>
      </c>
      <c r="I97" s="55">
        <f t="shared" si="18"/>
        <v>0.45629794690642717</v>
      </c>
      <c r="K97" s="53">
        <v>1.0900000000000001</v>
      </c>
      <c r="L97" s="53">
        <v>4.4999999999999998E-2</v>
      </c>
      <c r="N97" s="55">
        <v>25</v>
      </c>
      <c r="O97" s="55">
        <f t="shared" si="19"/>
        <v>1440</v>
      </c>
      <c r="P97" s="55">
        <f t="shared" si="20"/>
        <v>8640</v>
      </c>
    </row>
    <row r="98" spans="1:16" x14ac:dyDescent="0.3">
      <c r="A98" s="47" t="s">
        <v>389</v>
      </c>
      <c r="B98" s="58"/>
      <c r="C98" s="58" t="s">
        <v>415</v>
      </c>
      <c r="D98" s="47">
        <v>10.3</v>
      </c>
      <c r="E98" s="55" t="s">
        <v>416</v>
      </c>
      <c r="F98" s="55">
        <f>(K98+L98*N98)*SQRT(O98)</f>
        <v>7.3997297247940077</v>
      </c>
      <c r="G98" s="55">
        <f>(K98+L98*N98)*SQRT(P98)</f>
        <v>18.125562060250711</v>
      </c>
      <c r="H98" s="55">
        <f t="shared" si="17"/>
        <v>0.41194459227842528</v>
      </c>
      <c r="I98" s="55">
        <f t="shared" si="18"/>
        <v>0.41194459227842528</v>
      </c>
      <c r="K98" s="53">
        <v>-0.13</v>
      </c>
      <c r="L98" s="53">
        <v>1.2999999999999999E-2</v>
      </c>
      <c r="N98" s="55">
        <v>25</v>
      </c>
      <c r="O98" s="55">
        <f t="shared" si="19"/>
        <v>1440</v>
      </c>
      <c r="P98" s="55">
        <f t="shared" si="20"/>
        <v>8640</v>
      </c>
    </row>
    <row r="99" spans="1:16" x14ac:dyDescent="0.3">
      <c r="C99" s="58" t="s">
        <v>473</v>
      </c>
      <c r="D99" s="47">
        <v>1.6</v>
      </c>
      <c r="E99" s="55" t="s">
        <v>474</v>
      </c>
      <c r="F99" s="55">
        <f>(K99+L99*N99)*SQRT(O99)</f>
        <v>5.8818364479131855</v>
      </c>
      <c r="G99" s="55">
        <f>(K99+L99*N99)*SQRT(P99)</f>
        <v>14.40749804789159</v>
      </c>
      <c r="H99" s="55">
        <f t="shared" si="17"/>
        <v>0.32744313745208159</v>
      </c>
      <c r="I99" s="55">
        <f t="shared" si="18"/>
        <v>0.32744313745208159</v>
      </c>
      <c r="K99" s="53">
        <v>-0.17</v>
      </c>
      <c r="L99" s="53">
        <v>1.2999999999999999E-2</v>
      </c>
      <c r="N99" s="55">
        <v>25</v>
      </c>
      <c r="O99" s="55">
        <f t="shared" si="19"/>
        <v>1440</v>
      </c>
      <c r="P99" s="55">
        <f t="shared" si="20"/>
        <v>8640</v>
      </c>
    </row>
    <row r="100" spans="1:16" x14ac:dyDescent="0.3">
      <c r="B100" s="54"/>
      <c r="C100" s="54"/>
      <c r="E100" s="55"/>
      <c r="F100" s="55"/>
      <c r="G100" s="55"/>
      <c r="H100" s="55"/>
      <c r="I100" s="55"/>
      <c r="N100" s="55"/>
      <c r="O100" s="55"/>
      <c r="P100" s="55"/>
    </row>
    <row r="101" spans="1:16" x14ac:dyDescent="0.3">
      <c r="B101" s="54"/>
      <c r="C101" s="54"/>
      <c r="E101" s="55"/>
      <c r="F101" s="55"/>
      <c r="G101" s="55"/>
      <c r="H101" s="55"/>
      <c r="I101" s="55"/>
      <c r="N101" s="55"/>
      <c r="O101" s="55"/>
      <c r="P101" s="55"/>
    </row>
    <row r="102" spans="1:16" x14ac:dyDescent="0.3">
      <c r="E102" s="55"/>
      <c r="F102" s="55"/>
      <c r="G102" s="55"/>
      <c r="H102" s="55"/>
      <c r="I102" s="55"/>
      <c r="N102" s="55"/>
      <c r="O102" s="55"/>
      <c r="P102" s="55"/>
    </row>
    <row r="103" spans="1:16" x14ac:dyDescent="0.3">
      <c r="E103" s="55"/>
    </row>
    <row r="104" spans="1:16" x14ac:dyDescent="0.3">
      <c r="E104" s="55"/>
    </row>
    <row r="111" spans="1:16" x14ac:dyDescent="0.3">
      <c r="E111" s="79" t="s">
        <v>632</v>
      </c>
      <c r="F111" s="79"/>
      <c r="G111" s="79" t="s">
        <v>633</v>
      </c>
      <c r="H111" s="79"/>
      <c r="I111" s="79" t="s">
        <v>634</v>
      </c>
      <c r="J111" s="79"/>
    </row>
    <row r="112" spans="1:16" x14ac:dyDescent="0.3">
      <c r="C112" s="49"/>
      <c r="D112" s="49" t="s">
        <v>773</v>
      </c>
      <c r="E112" s="47" t="s">
        <v>771</v>
      </c>
      <c r="F112" s="49" t="s">
        <v>774</v>
      </c>
      <c r="G112" s="55" t="s">
        <v>771</v>
      </c>
      <c r="H112" s="49" t="s">
        <v>774</v>
      </c>
      <c r="I112" s="55" t="s">
        <v>771</v>
      </c>
      <c r="J112" s="49" t="s">
        <v>774</v>
      </c>
    </row>
    <row r="113" spans="3:10" x14ac:dyDescent="0.3">
      <c r="C113" s="49"/>
      <c r="D113" s="49" t="s">
        <v>772</v>
      </c>
      <c r="E113" s="47">
        <f>AVERAGE(H4:H56)</f>
        <v>0.96419519675238841</v>
      </c>
      <c r="F113" s="49">
        <f>_xlfn.STDEV.P(H4:H56)</f>
        <v>0.44467703241483364</v>
      </c>
      <c r="G113" s="47">
        <f>AVERAGE(H57:H80)</f>
        <v>0.65745675951120641</v>
      </c>
      <c r="H113" s="47">
        <f>_xlfn.STDEV.P(H57:H80)</f>
        <v>0.39513939828367867</v>
      </c>
      <c r="I113" s="47">
        <f>AVERAGE(H81:H99)</f>
        <v>0.4709361876884377</v>
      </c>
      <c r="J113" s="47">
        <f>_xlfn.STDEV.P(H81:H99)</f>
        <v>0.10811361442728801</v>
      </c>
    </row>
    <row r="114" spans="3:10" x14ac:dyDescent="0.3">
      <c r="C114" s="49"/>
      <c r="D114" s="49"/>
      <c r="E114" s="49"/>
      <c r="F114" s="49"/>
      <c r="G114" s="49"/>
      <c r="H114" s="49"/>
      <c r="I114" s="49"/>
      <c r="J114" s="49"/>
    </row>
    <row r="115" spans="3:10" x14ac:dyDescent="0.3">
      <c r="C115" s="49"/>
      <c r="D115" s="49"/>
      <c r="E115" s="49"/>
      <c r="F115" s="49"/>
      <c r="G115" s="49"/>
      <c r="H115" s="49"/>
      <c r="I115" s="49"/>
      <c r="J115" s="49"/>
    </row>
    <row r="116" spans="3:10" x14ac:dyDescent="0.3">
      <c r="C116" s="50"/>
      <c r="D116" s="49"/>
      <c r="E116" s="49"/>
      <c r="F116" s="49"/>
      <c r="G116" s="49"/>
      <c r="H116" s="49"/>
      <c r="I116" s="49"/>
      <c r="J116" s="49"/>
    </row>
    <row r="117" spans="3:10" x14ac:dyDescent="0.3">
      <c r="C117" s="49"/>
      <c r="D117" s="49"/>
      <c r="E117" s="49"/>
      <c r="F117" s="49"/>
      <c r="G117" s="49"/>
      <c r="H117" s="49"/>
      <c r="I117" s="49"/>
      <c r="J117" s="49"/>
    </row>
    <row r="118" spans="3:10" x14ac:dyDescent="0.3">
      <c r="C118" s="51"/>
      <c r="D118" s="49"/>
      <c r="E118" s="49"/>
      <c r="F118" s="49"/>
      <c r="G118" s="49"/>
      <c r="H118" s="49"/>
      <c r="I118" s="49"/>
      <c r="J118" s="49"/>
    </row>
    <row r="119" spans="3:10" x14ac:dyDescent="0.3">
      <c r="C119" s="49"/>
      <c r="D119" s="49"/>
      <c r="E119" s="49"/>
      <c r="F119" s="49"/>
      <c r="G119" s="49"/>
      <c r="H119" s="49"/>
      <c r="I119" s="49"/>
      <c r="J119" s="49"/>
    </row>
    <row r="120" spans="3:10" x14ac:dyDescent="0.3">
      <c r="C120" s="51"/>
      <c r="D120" s="49"/>
      <c r="E120" s="49"/>
      <c r="F120" s="49"/>
      <c r="G120" s="49"/>
      <c r="H120" s="49"/>
      <c r="I120" s="49"/>
      <c r="J120" s="49"/>
    </row>
    <row r="121" spans="3:10" x14ac:dyDescent="0.3">
      <c r="C121" s="52"/>
      <c r="D121" s="49"/>
      <c r="E121" s="49"/>
      <c r="F121" s="49"/>
      <c r="G121" s="49"/>
      <c r="H121" s="49"/>
      <c r="I121" s="49"/>
      <c r="J121" s="49"/>
    </row>
    <row r="122" spans="3:10" x14ac:dyDescent="0.3">
      <c r="C122" s="49"/>
      <c r="D122" s="49"/>
      <c r="E122" s="49"/>
      <c r="F122" s="49"/>
      <c r="G122" s="49"/>
      <c r="H122" s="49"/>
      <c r="I122" s="49"/>
      <c r="J122" s="49"/>
    </row>
    <row r="123" spans="3:10" x14ac:dyDescent="0.3">
      <c r="C123" s="49"/>
      <c r="D123" s="49"/>
      <c r="E123" s="49"/>
      <c r="F123" s="49"/>
      <c r="G123" s="49"/>
      <c r="H123" s="49"/>
      <c r="I123" s="49"/>
      <c r="J123" s="49"/>
    </row>
    <row r="124" spans="3:10" x14ac:dyDescent="0.3">
      <c r="C124" s="49"/>
      <c r="D124" s="49"/>
      <c r="E124" s="49"/>
      <c r="F124" s="49"/>
      <c r="G124" s="49"/>
      <c r="H124" s="49"/>
      <c r="I124" s="49"/>
      <c r="J124" s="49"/>
    </row>
    <row r="125" spans="3:10" x14ac:dyDescent="0.3">
      <c r="C125" s="49"/>
      <c r="D125" s="49"/>
      <c r="E125" s="49"/>
      <c r="F125" s="49"/>
      <c r="G125" s="49"/>
      <c r="H125" s="49"/>
      <c r="I125" s="49"/>
      <c r="J125" s="49"/>
    </row>
    <row r="126" spans="3:10" x14ac:dyDescent="0.3">
      <c r="C126" s="49"/>
      <c r="D126" s="49"/>
      <c r="E126" s="49"/>
      <c r="F126" s="49"/>
      <c r="G126" s="49"/>
      <c r="H126" s="49"/>
      <c r="I126" s="49"/>
      <c r="J126" s="49"/>
    </row>
    <row r="127" spans="3:10" x14ac:dyDescent="0.3">
      <c r="C127" s="49"/>
      <c r="D127" s="49"/>
      <c r="E127" s="49"/>
      <c r="F127" s="49"/>
      <c r="G127" s="49"/>
      <c r="H127" s="49"/>
      <c r="I127" s="49"/>
      <c r="J127" s="49"/>
    </row>
    <row r="128" spans="3:10" x14ac:dyDescent="0.3">
      <c r="C128" s="49"/>
      <c r="D128" s="49"/>
      <c r="E128" s="49"/>
      <c r="F128" s="49"/>
      <c r="G128" s="49"/>
      <c r="H128" s="49"/>
      <c r="I128" s="49"/>
      <c r="J128" s="49"/>
    </row>
    <row r="129" spans="3:10" x14ac:dyDescent="0.3">
      <c r="C129" s="49"/>
      <c r="D129" s="49"/>
      <c r="E129" s="49"/>
      <c r="F129" s="49"/>
      <c r="G129" s="49"/>
      <c r="H129" s="49"/>
      <c r="I129" s="49"/>
      <c r="J129" s="49"/>
    </row>
    <row r="130" spans="3:10" x14ac:dyDescent="0.3">
      <c r="C130" s="49"/>
      <c r="D130" s="49"/>
      <c r="E130" s="49"/>
      <c r="F130" s="49"/>
      <c r="G130" s="49"/>
      <c r="H130" s="49"/>
      <c r="I130" s="49"/>
      <c r="J130" s="49"/>
    </row>
    <row r="131" spans="3:10" x14ac:dyDescent="0.3">
      <c r="C131" s="49"/>
      <c r="D131" s="49"/>
      <c r="E131" s="49"/>
      <c r="F131" s="49"/>
      <c r="G131" s="49"/>
      <c r="H131" s="49"/>
      <c r="I131" s="49"/>
      <c r="J131" s="49"/>
    </row>
    <row r="132" spans="3:10" x14ac:dyDescent="0.3">
      <c r="C132" s="49"/>
      <c r="D132" s="49"/>
      <c r="E132" s="49"/>
      <c r="F132" s="49"/>
      <c r="G132" s="49"/>
      <c r="H132" s="49"/>
      <c r="I132" s="49"/>
      <c r="J132" s="49"/>
    </row>
    <row r="133" spans="3:10" x14ac:dyDescent="0.3">
      <c r="C133" s="49"/>
      <c r="D133" s="49"/>
      <c r="E133" s="49"/>
      <c r="F133" s="49"/>
      <c r="G133" s="49"/>
      <c r="H133" s="49"/>
      <c r="I133" s="49"/>
    </row>
  </sheetData>
  <sortState xmlns:xlrd2="http://schemas.microsoft.com/office/spreadsheetml/2017/richdata2" ref="A4:P102">
    <sortCondition descending="1" ref="D4:D102"/>
  </sortState>
  <mergeCells count="3">
    <mergeCell ref="E111:F111"/>
    <mergeCell ref="G111:H111"/>
    <mergeCell ref="I111:J11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 from GEMS</vt:lpstr>
      <vt:lpstr>Oil emission</vt:lpstr>
      <vt:lpstr>APAHs15 in Oil</vt:lpstr>
      <vt:lpstr>SI Tables</vt:lpstr>
      <vt:lpstr>light_mid_heavy</vt:lpstr>
      <vt:lpstr>APAHs in oil addtional</vt:lpstr>
      <vt:lpstr>Evaporation rate</vt:lpstr>
      <vt:lpstr>Correction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Xinghua Jiang</dc:creator>
  <cp:lastModifiedBy>Xinghua Jiang</cp:lastModifiedBy>
  <cp:lastPrinted>2025-05-27T01:38:40Z</cp:lastPrinted>
  <dcterms:created xsi:type="dcterms:W3CDTF">2015-06-05T18:17:20Z</dcterms:created>
  <dcterms:modified xsi:type="dcterms:W3CDTF">2026-03-17T02:12:23Z</dcterms:modified>
</cp:coreProperties>
</file>